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tsuki\Documents\TESIS\Recursos\Anexos\"/>
    </mc:Choice>
  </mc:AlternateContent>
  <xr:revisionPtr revIDLastSave="0" documentId="13_ncr:1_{605DB8F8-CB6D-4038-83D4-CCCFEA8563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rama de Gantt" sheetId="1" r:id="rId1"/>
    <sheet name="Hoja 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0" i="1" l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M10" i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B50" i="1" l="1"/>
  <c r="AB48" i="1"/>
  <c r="AB46" i="1"/>
  <c r="AB44" i="1"/>
  <c r="AB42" i="1"/>
  <c r="AB40" i="1"/>
  <c r="AB38" i="1"/>
  <c r="AC10" i="1"/>
  <c r="AB49" i="1"/>
  <c r="AB47" i="1"/>
  <c r="AB45" i="1"/>
  <c r="AB43" i="1"/>
  <c r="AB41" i="1"/>
  <c r="AB39" i="1"/>
  <c r="AB37" i="1"/>
  <c r="AC50" i="1" l="1"/>
  <c r="AC48" i="1"/>
  <c r="AC46" i="1"/>
  <c r="AC44" i="1"/>
  <c r="AC42" i="1"/>
  <c r="AC40" i="1"/>
  <c r="AC38" i="1"/>
  <c r="AC49" i="1"/>
  <c r="AC47" i="1"/>
  <c r="AC45" i="1"/>
  <c r="AC43" i="1"/>
  <c r="AC41" i="1"/>
  <c r="AC39" i="1"/>
  <c r="AC37" i="1"/>
</calcChain>
</file>

<file path=xl/sharedStrings.xml><?xml version="1.0" encoding="utf-8"?>
<sst xmlns="http://schemas.openxmlformats.org/spreadsheetml/2006/main" count="210" uniqueCount="122">
  <si>
    <t xml:space="preserve">Formulario: Cronograma de los trabajos y aplicación de entregables                                                        </t>
  </si>
  <si>
    <t>TÍTULO DEL PROYECTO</t>
  </si>
  <si>
    <t>DISEÑO DE ROBOT AUTÓNOMO PARA MEDICIÓN DE VARIABLES CLIMÁTICAS EN SISTEMAS FOTOVOLTAICOS</t>
  </si>
  <si>
    <t>PUCP</t>
  </si>
  <si>
    <t>PONTIFICIA UNIVERSIDAD CATÓLICA DEL PERÚ</t>
  </si>
  <si>
    <t>RESPONSABLE DEL PROYECTO</t>
  </si>
  <si>
    <t>Pedro Mitsuki Yasuda Larrea</t>
  </si>
  <si>
    <t>Fecha de inicio</t>
  </si>
  <si>
    <t>Día de inicio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</si>
  <si>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</si>
  <si>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</si>
  <si>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</si>
  <si>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</si>
  <si>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</si>
  <si>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</si>
  <si>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</si>
  <si>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</si>
  <si>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</si>
  <si>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</si>
  <si>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</si>
  <si>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</si>
  <si>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</si>
  <si>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</si>
  <si>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</si>
  <si>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</si>
  <si>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</si>
  <si>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</si>
  <si>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NÚMERO EDT</t>
  </si>
  <si>
    <t>TÍTULO DE LA TAREA</t>
  </si>
  <si>
    <t>RESPONSABLE DE LA TAREA</t>
  </si>
  <si>
    <t>FECHA DE INICIO</t>
  </si>
  <si>
    <t>FECHA DE TÉRMINO</t>
  </si>
  <si>
    <t>FECHA DE FIN</t>
  </si>
  <si>
    <t>COMENTARIOS</t>
  </si>
  <si>
    <t>DIAS DE ATRASO</t>
  </si>
  <si>
    <t>DURACIÓN</t>
  </si>
  <si>
    <t>% COMPLETADO 
DE LA TAREA</t>
  </si>
  <si>
    <t>1.1</t>
  </si>
  <si>
    <t>Presentación del curso, lineamientos y registro de asesor</t>
  </si>
  <si>
    <t>Pedro Yasuda</t>
  </si>
  <si>
    <t>x</t>
  </si>
  <si>
    <t>1.2</t>
  </si>
  <si>
    <t>Preparación y exposición oral del anteproyecto conceptual TFC1</t>
  </si>
  <si>
    <t>1.3</t>
  </si>
  <si>
    <t>Formulación del objetivo general y objetivos específicos de TFC2</t>
  </si>
  <si>
    <t>1.4</t>
  </si>
  <si>
    <t>Definición de la metodología de diseño sistemático y mecatrónico</t>
  </si>
  <si>
    <t>1.5</t>
  </si>
  <si>
    <t>Estructuración del índice tentativo unificado del documento</t>
  </si>
  <si>
    <t>1.6</t>
  </si>
  <si>
    <t>Elaboración del cronograma detallado de trabajo y diagrama de Gantt</t>
  </si>
  <si>
    <t>1.7</t>
  </si>
  <si>
    <t>Consolidación, revisión con asesor y entrega del Avance 0</t>
  </si>
  <si>
    <t>2.1</t>
  </si>
  <si>
    <t>Diseño integrador: diagramas de operaciones, bloques y materiales</t>
  </si>
  <si>
    <t>2.2</t>
  </si>
  <si>
    <t>Diseño de control: flujogramas, estrategia y selección de controlador</t>
  </si>
  <si>
    <t>2.3</t>
  </si>
  <si>
    <t>Diseño preliminar de interfaces de usuario: pantallas, alertas y HMI</t>
  </si>
  <si>
    <t>2.4</t>
  </si>
  <si>
    <t>Dimensionamiento preliminar de estructura externa y soporte funcional</t>
  </si>
  <si>
    <t>2.5</t>
  </si>
  <si>
    <t>Esquematización cinemática del mecanismo de elevación por pantógrafo</t>
  </si>
  <si>
    <t>2.6</t>
  </si>
  <si>
    <t>Esquematización del mecanismo goniométrico de orientación de sensores</t>
  </si>
  <si>
    <t>2.7</t>
  </si>
  <si>
    <t>Pre-dimensionamiento del sistema de tracción diferencial y motricidad</t>
  </si>
  <si>
    <t>2.8</t>
  </si>
  <si>
    <t>Definición de arquitectura de telemetría y comunicaciones LoRa</t>
  </si>
  <si>
    <t>2.9</t>
  </si>
  <si>
    <t>Selección preliminar de instrumentación meteorológica y actuadores</t>
  </si>
  <si>
    <t>2.10</t>
  </si>
  <si>
    <t>Redacción, consolidación y entrega del Avance 1</t>
  </si>
  <si>
    <t>3.1</t>
  </si>
  <si>
    <t>Modelado CAD 3D paramétrico y ensamble general del sistema</t>
  </si>
  <si>
    <t>3.2</t>
  </si>
  <si>
    <t>Análisis estático y dinámico por elementos finitos (FEA) de estructura</t>
  </si>
  <si>
    <t>3.3</t>
  </si>
  <si>
    <t>Elaboración de planos de fabricación y despiece bajo norma técnica</t>
  </si>
  <si>
    <t>3.4</t>
  </si>
  <si>
    <t>Diseño de esquemáticos electrónicos de potencia, control y sensores</t>
  </si>
  <si>
    <t>3.5</t>
  </si>
  <si>
    <t>Enrutamiento y diseño de circuitos impresos (PCB)</t>
  </si>
  <si>
    <t>3.6</t>
  </si>
  <si>
    <t>Dimensionamiento final del banco de baterías Li-Ion y sistema BMS</t>
  </si>
  <si>
    <t>3.7</t>
  </si>
  <si>
    <t>Programación de algoritmos de navegación autónoma y seguimiento</t>
  </si>
  <si>
    <t>3.8</t>
  </si>
  <si>
    <t>Configuración de protocolo de comunicaciones y diseño de interfaz GUI</t>
  </si>
  <si>
    <t>3.9</t>
  </si>
  <si>
    <t>Consolidación, revisión y entrega del Avance 2</t>
  </si>
  <si>
    <t>4.1</t>
  </si>
  <si>
    <t>Revisión técnica intermedia y preparación de entornos de simulación</t>
  </si>
  <si>
    <t>5.1</t>
  </si>
  <si>
    <t>Preparación y exposición oral intermedia de avances técnicos</t>
  </si>
  <si>
    <t>5.2</t>
  </si>
  <si>
    <t>Construcción del modelo digital y gemelo virtual en entorno dinámico</t>
  </si>
  <si>
    <t>5.3</t>
  </si>
  <si>
    <t>Simulación dinámica multicuerpo en terreno irregular y pendientes</t>
  </si>
  <si>
    <t>5.4</t>
  </si>
  <si>
    <t>Validación en lazo cerrado de navegación autónoma y orientación</t>
  </si>
  <si>
    <t>5.5</t>
  </si>
  <si>
    <t>Pruebas de conectividad, latencia y robustez del enlace de telemetría</t>
  </si>
  <si>
    <t>5.6</t>
  </si>
  <si>
    <t>Análisis integral de resultados frente a matriz de requerimientos</t>
  </si>
  <si>
    <t>5.7</t>
  </si>
  <si>
    <t>Consolidación, revisión con asesor y entrega del Avance 3</t>
  </si>
  <si>
    <t>6.1</t>
  </si>
  <si>
    <t>Elaboración de lista exhaustiva de materiales (BOM) y presupuesto</t>
  </si>
  <si>
    <t>6.2</t>
  </si>
  <si>
    <t>Estimación de costos de capital (CAPEX) y operativos (OPEX)</t>
  </si>
  <si>
    <t>6.3</t>
  </si>
  <si>
    <t>Formulación del plan de mantenimiento preventivo y correctivo</t>
  </si>
  <si>
    <t>6.4</t>
  </si>
  <si>
    <t>Elaboración de póster y demostración en la Feria de Proyectos</t>
  </si>
  <si>
    <t>6.5</t>
  </si>
  <si>
    <t>Redacción final de conclusiones, recomendaciones y revisión de formato</t>
  </si>
  <si>
    <t>6.6</t>
  </si>
  <si>
    <t>Aprobación por asesor, entrega del Documento Final y sustentación oral</t>
  </si>
  <si>
    <t>VALIDACION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</si>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</sst>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/&quot;mm&quot;/&quot;yy"/>
    <numFmt numFmtId="165" formatCode="d/mm/yyyy"/>
    <numFmt numFmtId="166" formatCode="dd/mm/yyyy"/>
    <numFmt numFmtId="167" formatCode="0\ %"/>
  </numFmts>
  <fonts count="28" x14ac:knownFonts="1">
    <font>
      <sz val="10"/>
      <color rgb="FF000000"/>
      <name val="Arial"/>
    </font>
    <font>
      <b/>
      <sz val="18"/>
      <color rgb="FF000000"/>
      <name val="Roboto"/>
    </font>
    <font>
      <b/>
      <sz val="12"/>
      <color rgb="FF0B5394"/>
      <name val="Roboto"/>
    </font>
    <font>
      <b/>
      <sz val="12"/>
      <color rgb="FF000000"/>
      <name val="Roboto"/>
    </font>
    <font>
      <sz val="12"/>
      <color rgb="FF000000"/>
      <name val="Roboto"/>
    </font>
    <font>
      <b/>
      <sz val="10"/>
      <color rgb="FF666666"/>
      <name val="Roboto"/>
    </font>
    <font>
      <sz val="10"/>
      <color rgb="FF999999"/>
      <name val="Roboto"/>
    </font>
    <font>
      <b/>
      <sz val="9"/>
      <color rgb="FF000000"/>
      <name val="Roboto"/>
    </font>
    <font>
      <b/>
      <sz val="10"/>
      <color rgb="FF666666"/>
      <name val="Roboto"/>
    </font>
    <font>
      <sz val="10"/>
      <color rgb="FF999999"/>
      <name val="Roboto"/>
    </font>
    <font>
      <sz val="10"/>
      <color theme="1"/>
      <name val="Arial"/>
    </font>
    <font>
      <sz val="10"/>
      <color rgb="FF434343"/>
      <name val="Roboto"/>
    </font>
    <font>
      <sz val="11"/>
      <color theme="1"/>
      <name val="Roboto"/>
    </font>
    <font>
      <sz val="10"/>
      <color rgb="FF434343"/>
      <name val="Roboto"/>
    </font>
    <font>
      <sz val="10"/>
      <color rgb="FF0000FF"/>
      <name val="Roboto"/>
    </font>
    <font>
      <sz val="10"/>
      <color theme="1"/>
      <name val="Calibri"/>
    </font>
    <font>
      <sz val="10"/>
      <color rgb="FF0000FF"/>
      <name val="Calibri"/>
    </font>
    <font>
      <b/>
      <sz val="9"/>
      <color rgb="FFFFFFFF"/>
      <name val="Roboto"/>
    </font>
    <font>
      <b/>
      <sz val="9"/>
      <color rgb="FF0000FF"/>
      <name val="Roboto"/>
    </font>
    <font>
      <b/>
      <sz val="8"/>
      <color theme="1"/>
      <name val="Roboto"/>
    </font>
    <font>
      <sz val="9"/>
      <color theme="1"/>
      <name val="Roboto"/>
    </font>
    <font>
      <sz val="10"/>
      <color rgb="FF000000"/>
      <name val="Roboto"/>
    </font>
    <font>
      <b/>
      <sz val="10"/>
      <color rgb="FF000000"/>
      <name val="Roboto"/>
    </font>
    <font>
      <b/>
      <sz val="10"/>
      <color rgb="FFFF0000"/>
      <name val="Roboto"/>
    </font>
    <font>
      <sz val="10"/>
      <color theme="1"/>
      <name val="Roboto"/>
    </font>
    <font>
      <sz val="10"/>
      <color rgb="FF000000"/>
      <name val="Roboto"/>
    </font>
    <font>
      <sz val="10"/>
      <color rgb="FF0000FF"/>
      <name val="Roboto"/>
    </font>
    <font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75B5"/>
        <bgColor rgb="FF2F75B5"/>
      </patternFill>
    </fill>
    <fill>
      <patternFill patternType="solid">
        <fgColor rgb="FF0B5394"/>
        <bgColor rgb="FF0B5394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theme="6" tint="0.79998168889431442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0B5394"/>
      </top>
      <bottom/>
      <diagonal/>
    </border>
    <border>
      <left style="thin">
        <color rgb="FFB7B7B7"/>
      </left>
      <right/>
      <top style="thin">
        <color rgb="FF0B5394"/>
      </top>
      <bottom/>
      <diagonal/>
    </border>
    <border>
      <left style="thin">
        <color rgb="FF0B5394"/>
      </left>
      <right/>
      <top style="thin">
        <color rgb="FFB7B7B7"/>
      </top>
      <bottom style="thin">
        <color rgb="FFB7B7B7"/>
      </bottom>
      <diagonal/>
    </border>
    <border>
      <left style="thin">
        <color rgb="FF0B5394"/>
      </left>
      <right style="thin">
        <color rgb="FFB7B7B7"/>
      </right>
      <top style="thin">
        <color rgb="FFB7B7B7"/>
      </top>
      <bottom style="thin">
        <color rgb="FF0B5394"/>
      </bottom>
      <diagonal/>
    </border>
    <border>
      <left/>
      <right/>
      <top style="thin">
        <color rgb="FF0C343D"/>
      </top>
      <bottom style="thin">
        <color rgb="FFB7B7B7"/>
      </bottom>
      <diagonal/>
    </border>
    <border>
      <left/>
      <right style="thin">
        <color rgb="FF0C343D"/>
      </right>
      <top style="thin">
        <color rgb="FF0C343D"/>
      </top>
      <bottom style="thin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0C343D"/>
      </bottom>
      <diagonal/>
    </border>
    <border>
      <left/>
      <right style="thin">
        <color rgb="FFB7B7B7"/>
      </right>
      <top/>
      <bottom style="hair">
        <color rgb="FFB7B7B7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10" fillId="2" borderId="0" xfId="0" applyFont="1" applyFill="1"/>
    <xf numFmtId="0" fontId="5" fillId="0" borderId="0" xfId="0" applyFont="1" applyAlignment="1">
      <alignment horizontal="left" vertical="center"/>
    </xf>
    <xf numFmtId="0" fontId="10" fillId="0" borderId="0" xfId="0" applyFont="1"/>
    <xf numFmtId="0" fontId="12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2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166" fontId="7" fillId="5" borderId="6" xfId="0" applyNumberFormat="1" applyFont="1" applyFill="1" applyBorder="1" applyAlignment="1">
      <alignment horizontal="center" vertical="center" textRotation="90"/>
    </xf>
    <xf numFmtId="0" fontId="20" fillId="0" borderId="0" xfId="0" applyFont="1" applyAlignment="1">
      <alignment vertical="center"/>
    </xf>
    <xf numFmtId="0" fontId="21" fillId="2" borderId="0" xfId="0" applyFont="1" applyFill="1" applyAlignment="1">
      <alignment horizontal="center" vertical="center" wrapText="1"/>
    </xf>
    <xf numFmtId="0" fontId="21" fillId="6" borderId="7" xfId="0" applyFont="1" applyFill="1" applyBorder="1" applyAlignment="1">
      <alignment horizontal="left" vertical="center" wrapText="1"/>
    </xf>
    <xf numFmtId="0" fontId="21" fillId="6" borderId="7" xfId="0" applyFont="1" applyFill="1" applyBorder="1" applyAlignment="1">
      <alignment horizontal="center" vertical="center" wrapText="1"/>
    </xf>
    <xf numFmtId="167" fontId="13" fillId="0" borderId="8" xfId="0" applyNumberFormat="1" applyFont="1" applyBorder="1" applyAlignment="1">
      <alignment horizontal="center" vertical="center" wrapText="1"/>
    </xf>
    <xf numFmtId="9" fontId="22" fillId="2" borderId="9" xfId="0" applyNumberFormat="1" applyFont="1" applyFill="1" applyBorder="1" applyAlignment="1">
      <alignment horizontal="center" vertical="center"/>
    </xf>
    <xf numFmtId="9" fontId="22" fillId="2" borderId="10" xfId="0" applyNumberFormat="1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9" fontId="22" fillId="0" borderId="10" xfId="0" applyNumberFormat="1" applyFont="1" applyBorder="1" applyAlignment="1">
      <alignment horizontal="center" vertical="center"/>
    </xf>
    <xf numFmtId="9" fontId="23" fillId="0" borderId="10" xfId="0" applyNumberFormat="1" applyFont="1" applyBorder="1" applyAlignment="1">
      <alignment horizontal="center" vertical="center"/>
    </xf>
    <xf numFmtId="9" fontId="23" fillId="2" borderId="1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49" fontId="21" fillId="2" borderId="0" xfId="0" applyNumberFormat="1" applyFont="1" applyFill="1" applyAlignment="1">
      <alignment horizontal="center" vertical="center" wrapText="1"/>
    </xf>
    <xf numFmtId="49" fontId="21" fillId="6" borderId="11" xfId="0" applyNumberFormat="1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left" vertical="center" wrapText="1"/>
    </xf>
    <xf numFmtId="0" fontId="21" fillId="6" borderId="11" xfId="0" applyFont="1" applyFill="1" applyBorder="1" applyAlignment="1">
      <alignment horizontal="center" vertical="center" wrapText="1"/>
    </xf>
    <xf numFmtId="166" fontId="21" fillId="6" borderId="11" xfId="0" applyNumberFormat="1" applyFont="1" applyFill="1" applyBorder="1" applyAlignment="1">
      <alignment horizontal="center" vertical="center" wrapText="1"/>
    </xf>
    <xf numFmtId="0" fontId="25" fillId="6" borderId="12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left" vertical="center" wrapText="1"/>
    </xf>
    <xf numFmtId="166" fontId="21" fillId="6" borderId="13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 wrapText="1"/>
    </xf>
    <xf numFmtId="165" fontId="11" fillId="7" borderId="0" xfId="0" applyNumberFormat="1" applyFont="1" applyFill="1" applyAlignment="1">
      <alignment horizontal="center" vertical="center" wrapText="1"/>
    </xf>
    <xf numFmtId="166" fontId="11" fillId="7" borderId="0" xfId="0" applyNumberFormat="1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wrapText="1"/>
    </xf>
    <xf numFmtId="167" fontId="11" fillId="7" borderId="0" xfId="0" applyNumberFormat="1" applyFont="1" applyFill="1" applyAlignment="1">
      <alignment horizontal="center" wrapText="1"/>
    </xf>
    <xf numFmtId="9" fontId="10" fillId="2" borderId="14" xfId="0" applyNumberFormat="1" applyFont="1" applyFill="1" applyBorder="1"/>
    <xf numFmtId="9" fontId="10" fillId="0" borderId="14" xfId="0" applyNumberFormat="1" applyFont="1" applyBorder="1"/>
    <xf numFmtId="9" fontId="27" fillId="0" borderId="14" xfId="0" applyNumberFormat="1" applyFont="1" applyBorder="1"/>
    <xf numFmtId="9" fontId="27" fillId="2" borderId="14" xfId="0" applyNumberFormat="1" applyFont="1" applyFill="1" applyBorder="1"/>
    <xf numFmtId="0" fontId="15" fillId="0" borderId="0" xfId="0" applyFont="1"/>
    <xf numFmtId="0" fontId="0" fillId="0" borderId="0" xfId="0"/>
    <xf numFmtId="0" fontId="9" fillId="0" borderId="0" xfId="0" applyFont="1"/>
    <xf numFmtId="164" fontId="9" fillId="0" borderId="0" xfId="0" applyNumberFormat="1" applyFont="1" applyAlignment="1">
      <alignment horizontal="left"/>
    </xf>
    <xf numFmtId="166" fontId="11" fillId="0" borderId="0" xfId="0" applyNumberFormat="1" applyFont="1" applyAlignment="1">
      <alignment horizontal="left" wrapText="1"/>
    </xf>
    <xf numFmtId="166" fontId="21" fillId="6" borderId="7" xfId="0" applyNumberFormat="1" applyFont="1" applyFill="1" applyBorder="1" applyAlignment="1">
      <alignment horizontal="center" vertical="center" wrapText="1"/>
    </xf>
    <xf numFmtId="166" fontId="22" fillId="6" borderId="1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0" fillId="0" borderId="2" xfId="0" applyBorder="1"/>
    <xf numFmtId="0" fontId="8" fillId="0" borderId="0" xfId="0" applyFont="1"/>
    <xf numFmtId="0" fontId="0" fillId="0" borderId="0" xfId="0"/>
    <xf numFmtId="0" fontId="4" fillId="2" borderId="2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9" fillId="0" borderId="0" xfId="0" applyFont="1"/>
    <xf numFmtId="166" fontId="9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9" fillId="2" borderId="0" xfId="0" applyFont="1" applyFill="1"/>
    <xf numFmtId="0" fontId="5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left" vertical="center" wrapText="1"/>
    </xf>
    <xf numFmtId="166" fontId="11" fillId="8" borderId="0" xfId="0" applyNumberFormat="1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rgb="FFEAD1DC"/>
          <bgColor rgb="FFEAD1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AU1000"/>
  <sheetViews>
    <sheetView showGridLines="0" tabSelected="1" zoomScale="70" zoomScaleNormal="70" workbookViewId="0">
      <pane ySplit="10" topLeftCell="A11" activePane="bottomLeft" state="frozen"/>
      <selection pane="bottomLeft" activeCell="N41" sqref="N41"/>
    </sheetView>
  </sheetViews>
  <sheetFormatPr defaultColWidth="14.44140625" defaultRowHeight="15" customHeight="1" outlineLevelRow="1" x14ac:dyDescent="0.25"/>
  <cols>
    <col min="1" max="2" width="9.44140625" style="60" customWidth="1"/>
    <col min="3" max="3" width="41.5546875" style="60" customWidth="1"/>
    <col min="4" max="4" width="13.5546875" style="60" customWidth="1"/>
    <col min="5" max="7" width="11" style="60" customWidth="1"/>
    <col min="8" max="8" width="16.5546875" style="60" customWidth="1"/>
    <col min="9" max="9" width="10.88671875" style="60" customWidth="1"/>
    <col min="10" max="10" width="8.44140625" style="60" customWidth="1"/>
    <col min="11" max="11" width="12.33203125" style="60" customWidth="1"/>
    <col min="12" max="20" width="9.5546875" style="60" customWidth="1"/>
    <col min="21" max="46" width="10.5546875" style="60" customWidth="1"/>
    <col min="47" max="47" width="3.88671875" style="60" customWidth="1"/>
  </cols>
  <sheetData>
    <row r="1" spans="1:47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47" ht="15.75" customHeight="1" x14ac:dyDescent="0.25">
      <c r="A2" s="1"/>
      <c r="B2" s="74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8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</row>
    <row r="3" spans="1:47" ht="15.75" customHeight="1" x14ac:dyDescent="0.25">
      <c r="A3" s="3"/>
      <c r="B3" s="71"/>
      <c r="C3" s="67"/>
      <c r="D3" s="70"/>
      <c r="E3" s="67"/>
      <c r="F3" s="67"/>
      <c r="G3" s="67"/>
      <c r="H3" s="67"/>
      <c r="I3" s="67"/>
      <c r="J3" s="67"/>
      <c r="K3" s="67"/>
      <c r="L3" s="77"/>
      <c r="M3" s="67"/>
      <c r="N3" s="67"/>
      <c r="O3" s="67"/>
      <c r="P3" s="67"/>
      <c r="Q3" s="67"/>
      <c r="R3" s="67"/>
      <c r="S3" s="67"/>
      <c r="T3" s="67"/>
      <c r="U3" s="66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</row>
    <row r="4" spans="1:47" ht="15.75" customHeight="1" x14ac:dyDescent="0.25">
      <c r="A4" s="4"/>
      <c r="B4" s="68" t="s">
        <v>1</v>
      </c>
      <c r="C4" s="69"/>
      <c r="D4" s="76" t="s">
        <v>2</v>
      </c>
      <c r="E4" s="69"/>
      <c r="F4" s="69"/>
      <c r="G4" s="69"/>
      <c r="H4" s="69"/>
      <c r="I4" s="5"/>
      <c r="J4" s="68" t="s">
        <v>3</v>
      </c>
      <c r="K4" s="69"/>
      <c r="L4" s="72" t="s">
        <v>4</v>
      </c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1"/>
      <c r="Z4" s="61"/>
      <c r="AA4" s="61"/>
      <c r="AB4" s="61"/>
      <c r="AC4" s="61"/>
      <c r="AD4" s="61"/>
      <c r="AE4" s="61"/>
      <c r="AF4" s="6"/>
    </row>
    <row r="5" spans="1:47" ht="15.75" customHeight="1" x14ac:dyDescent="0.25">
      <c r="A5" s="4"/>
      <c r="B5" s="68" t="s">
        <v>5</v>
      </c>
      <c r="C5" s="69"/>
      <c r="D5" s="72" t="s">
        <v>6</v>
      </c>
      <c r="E5" s="69"/>
      <c r="F5" s="69"/>
      <c r="G5" s="69"/>
      <c r="H5" s="69"/>
      <c r="I5" s="7"/>
      <c r="J5" s="68" t="s">
        <v>7</v>
      </c>
      <c r="K5" s="69"/>
      <c r="L5" s="73">
        <v>46251</v>
      </c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2"/>
      <c r="Y5" s="62"/>
      <c r="Z5" s="62"/>
      <c r="AA5" s="62"/>
      <c r="AB5" s="62"/>
      <c r="AC5" s="62"/>
      <c r="AD5" s="62"/>
      <c r="AE5" s="7"/>
      <c r="AF5" s="6"/>
    </row>
    <row r="6" spans="1:47" ht="15.75" customHeight="1" x14ac:dyDescent="0.25">
      <c r="A6" s="4"/>
      <c r="B6" s="68" t="s">
        <v>8</v>
      </c>
      <c r="C6" s="69"/>
      <c r="D6" s="63">
        <v>46251</v>
      </c>
      <c r="E6" s="5"/>
      <c r="F6" s="5"/>
      <c r="G6" s="5"/>
      <c r="H6" s="5"/>
      <c r="I6" s="5"/>
      <c r="J6" s="5"/>
      <c r="K6" s="5"/>
      <c r="L6" s="5"/>
      <c r="M6" s="5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8"/>
    </row>
    <row r="7" spans="1:47" ht="15.75" customHeight="1" x14ac:dyDescent="0.25">
      <c r="A7" s="9"/>
      <c r="B7" s="10"/>
      <c r="C7" s="6"/>
      <c r="D7" s="11"/>
      <c r="E7" s="11"/>
      <c r="F7" s="11"/>
      <c r="G7" s="11"/>
      <c r="H7" s="12"/>
      <c r="I7" s="11"/>
      <c r="J7" s="11"/>
      <c r="K7" s="1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8"/>
    </row>
    <row r="8" spans="1:47" ht="30" customHeight="1" x14ac:dyDescent="0.25">
      <c r="A8" s="13"/>
      <c r="B8" s="14"/>
      <c r="C8" s="14"/>
      <c r="D8" s="14"/>
      <c r="E8" s="14"/>
      <c r="F8" s="14"/>
      <c r="G8" s="14"/>
      <c r="H8" s="15"/>
      <c r="I8" s="14"/>
      <c r="J8" s="14"/>
      <c r="K8" s="1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7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8"/>
    </row>
    <row r="9" spans="1:47" ht="32.25" customHeight="1" x14ac:dyDescent="0.25">
      <c r="A9" s="18"/>
      <c r="B9" s="19"/>
      <c r="C9" s="19"/>
      <c r="D9" s="19"/>
      <c r="E9" s="19"/>
      <c r="F9" s="19"/>
      <c r="G9" s="19"/>
      <c r="H9" s="20"/>
      <c r="I9" s="19"/>
      <c r="J9" s="19"/>
      <c r="K9" s="19"/>
      <c r="L9" s="21" t="s">
        <v>9</v>
      </c>
      <c r="M9" s="21" t="s">
        <v>10</v>
      </c>
      <c r="N9" s="21" t="s">
        <v>11</v>
      </c>
      <c r="O9" s="21" t="s">
        <v>12</v>
      </c>
      <c r="P9" s="21" t="s">
        <v>13</v>
      </c>
      <c r="Q9" s="21" t="s">
        <v>14</v>
      </c>
      <c r="R9" s="21" t="s">
        <v>15</v>
      </c>
      <c r="S9" s="21" t="s">
        <v>16</v>
      </c>
      <c r="T9" s="21" t="s">
        <v>17</v>
      </c>
      <c r="U9" s="21" t="s">
        <v>18</v>
      </c>
      <c r="V9" s="21" t="s">
        <v>19</v>
      </c>
      <c r="W9" s="21" t="s">
        <v>20</v>
      </c>
      <c r="X9" s="21" t="s">
        <v>21</v>
      </c>
      <c r="Y9" s="21" t="s">
        <v>22</v>
      </c>
      <c r="Z9" s="21" t="s">
        <v>23</v>
      </c>
      <c r="AA9" s="21" t="s">
        <v>24</v>
      </c>
      <c r="AB9" s="21" t="s">
        <v>25</v>
      </c>
      <c r="AC9" s="21" t="s">
        <v>26</v>
      </c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2"/>
    </row>
    <row r="10" spans="1:47" ht="49.5" customHeight="1" x14ac:dyDescent="0.25">
      <c r="A10" s="23"/>
      <c r="B10" s="24" t="s">
        <v>27</v>
      </c>
      <c r="C10" s="24" t="s">
        <v>28</v>
      </c>
      <c r="D10" s="24" t="s">
        <v>29</v>
      </c>
      <c r="E10" s="24" t="s">
        <v>30</v>
      </c>
      <c r="F10" s="24" t="s">
        <v>31</v>
      </c>
      <c r="G10" s="24" t="s">
        <v>32</v>
      </c>
      <c r="H10" s="24" t="s">
        <v>33</v>
      </c>
      <c r="I10" s="24" t="s">
        <v>34</v>
      </c>
      <c r="J10" s="24" t="s">
        <v>35</v>
      </c>
      <c r="K10" s="24" t="s">
        <v>36</v>
      </c>
      <c r="L10" s="25">
        <v>46251</v>
      </c>
      <c r="M10" s="25">
        <f t="shared" ref="M10:AC10" si="0">L10+7</f>
        <v>46258</v>
      </c>
      <c r="N10" s="25">
        <f t="shared" si="0"/>
        <v>46265</v>
      </c>
      <c r="O10" s="25">
        <f t="shared" si="0"/>
        <v>46272</v>
      </c>
      <c r="P10" s="25">
        <f t="shared" si="0"/>
        <v>46279</v>
      </c>
      <c r="Q10" s="25">
        <f t="shared" si="0"/>
        <v>46286</v>
      </c>
      <c r="R10" s="25">
        <f t="shared" si="0"/>
        <v>46293</v>
      </c>
      <c r="S10" s="25">
        <f t="shared" si="0"/>
        <v>46300</v>
      </c>
      <c r="T10" s="25">
        <f t="shared" si="0"/>
        <v>46307</v>
      </c>
      <c r="U10" s="25">
        <f t="shared" si="0"/>
        <v>46314</v>
      </c>
      <c r="V10" s="25">
        <f t="shared" si="0"/>
        <v>46321</v>
      </c>
      <c r="W10" s="25">
        <f t="shared" si="0"/>
        <v>46328</v>
      </c>
      <c r="X10" s="25">
        <f t="shared" si="0"/>
        <v>46335</v>
      </c>
      <c r="Y10" s="25">
        <f t="shared" si="0"/>
        <v>46342</v>
      </c>
      <c r="Z10" s="25">
        <f t="shared" si="0"/>
        <v>46349</v>
      </c>
      <c r="AA10" s="25">
        <f t="shared" si="0"/>
        <v>46356</v>
      </c>
      <c r="AB10" s="25">
        <f t="shared" si="0"/>
        <v>46363</v>
      </c>
      <c r="AC10" s="25">
        <f t="shared" si="0"/>
        <v>46370</v>
      </c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6"/>
    </row>
    <row r="11" spans="1:47" ht="32.25" customHeight="1" outlineLevel="1" x14ac:dyDescent="0.25">
      <c r="A11" s="27"/>
      <c r="B11" s="29" t="s">
        <v>37</v>
      </c>
      <c r="C11" s="28" t="s">
        <v>38</v>
      </c>
      <c r="D11" s="29" t="s">
        <v>39</v>
      </c>
      <c r="E11" s="64">
        <v>46251</v>
      </c>
      <c r="F11" s="64">
        <v>46257</v>
      </c>
      <c r="G11" s="64">
        <v>46257</v>
      </c>
      <c r="H11" s="29"/>
      <c r="I11" s="29">
        <f t="shared" ref="I11:I50" si="1">G11-F11</f>
        <v>0</v>
      </c>
      <c r="J11" s="29">
        <f t="shared" ref="J11:J50" si="2">DAYS360(E11,F11)+1</f>
        <v>7</v>
      </c>
      <c r="K11" s="30">
        <v>1</v>
      </c>
      <c r="L11" s="31" t="s">
        <v>40</v>
      </c>
      <c r="M11" s="32"/>
      <c r="N11" s="33"/>
      <c r="O11" s="33"/>
      <c r="P11" s="33"/>
      <c r="Q11" s="32"/>
      <c r="R11" s="32"/>
      <c r="S11" s="34"/>
      <c r="T11" s="34"/>
      <c r="U11" s="34"/>
      <c r="V11" s="34"/>
      <c r="W11" s="35"/>
      <c r="X11" s="35"/>
      <c r="Y11" s="35"/>
      <c r="Z11" s="36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</row>
    <row r="12" spans="1:47" ht="24.6" customHeight="1" outlineLevel="1" x14ac:dyDescent="0.25">
      <c r="A12" s="38"/>
      <c r="B12" s="39" t="s">
        <v>41</v>
      </c>
      <c r="C12" s="40" t="s">
        <v>42</v>
      </c>
      <c r="D12" s="41" t="s">
        <v>39</v>
      </c>
      <c r="E12" s="65">
        <v>46258</v>
      </c>
      <c r="F12" s="42">
        <v>46264</v>
      </c>
      <c r="G12" s="42">
        <v>46264</v>
      </c>
      <c r="H12" s="41"/>
      <c r="I12" s="41">
        <f t="shared" si="1"/>
        <v>0</v>
      </c>
      <c r="J12" s="41">
        <f t="shared" si="2"/>
        <v>7</v>
      </c>
      <c r="K12" s="30">
        <v>1</v>
      </c>
      <c r="L12" s="31"/>
      <c r="M12" s="32" t="s">
        <v>40</v>
      </c>
      <c r="N12" s="32"/>
      <c r="O12" s="32"/>
      <c r="P12" s="32"/>
      <c r="Q12" s="32"/>
      <c r="R12" s="34"/>
      <c r="S12" s="34"/>
      <c r="T12" s="34"/>
      <c r="U12" s="34"/>
      <c r="V12" s="34"/>
      <c r="W12" s="35"/>
      <c r="X12" s="35"/>
      <c r="Y12" s="35"/>
      <c r="Z12" s="36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7"/>
    </row>
    <row r="13" spans="1:47" ht="33" customHeight="1" outlineLevel="1" x14ac:dyDescent="0.25">
      <c r="A13" s="27"/>
      <c r="B13" s="41" t="s">
        <v>43</v>
      </c>
      <c r="C13" s="40" t="s">
        <v>44</v>
      </c>
      <c r="D13" s="41" t="s">
        <v>39</v>
      </c>
      <c r="E13" s="42">
        <v>46265</v>
      </c>
      <c r="F13" s="42">
        <v>46271</v>
      </c>
      <c r="G13" s="42">
        <v>46271</v>
      </c>
      <c r="H13" s="41"/>
      <c r="I13" s="41">
        <f t="shared" si="1"/>
        <v>0</v>
      </c>
      <c r="J13" s="41">
        <f t="shared" si="2"/>
        <v>7</v>
      </c>
      <c r="K13" s="30">
        <v>1</v>
      </c>
      <c r="L13" s="31"/>
      <c r="M13" s="32"/>
      <c r="N13" s="32" t="s">
        <v>40</v>
      </c>
      <c r="O13" s="32"/>
      <c r="P13" s="32"/>
      <c r="Q13" s="32"/>
      <c r="R13" s="34"/>
      <c r="S13" s="34"/>
      <c r="T13" s="34"/>
      <c r="U13" s="34"/>
      <c r="V13" s="34"/>
      <c r="W13" s="35"/>
      <c r="X13" s="35"/>
      <c r="Y13" s="35"/>
      <c r="Z13" s="36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7"/>
    </row>
    <row r="14" spans="1:47" ht="27" customHeight="1" outlineLevel="1" x14ac:dyDescent="0.25">
      <c r="A14" s="27"/>
      <c r="B14" s="41" t="s">
        <v>45</v>
      </c>
      <c r="C14" s="40" t="s">
        <v>46</v>
      </c>
      <c r="D14" s="41" t="s">
        <v>39</v>
      </c>
      <c r="E14" s="42">
        <v>46265</v>
      </c>
      <c r="F14" s="42">
        <v>46271</v>
      </c>
      <c r="G14" s="42">
        <v>46271</v>
      </c>
      <c r="H14" s="41"/>
      <c r="I14" s="41">
        <f t="shared" si="1"/>
        <v>0</v>
      </c>
      <c r="J14" s="41">
        <f t="shared" si="2"/>
        <v>7</v>
      </c>
      <c r="K14" s="30">
        <v>1</v>
      </c>
      <c r="L14" s="31"/>
      <c r="M14" s="32"/>
      <c r="N14" s="32" t="s">
        <v>40</v>
      </c>
      <c r="O14" s="32"/>
      <c r="P14" s="32"/>
      <c r="Q14" s="32"/>
      <c r="R14" s="34"/>
      <c r="S14" s="34"/>
      <c r="T14" s="34"/>
      <c r="U14" s="34"/>
      <c r="V14" s="34"/>
      <c r="W14" s="35"/>
      <c r="X14" s="35"/>
      <c r="Y14" s="35"/>
      <c r="Z14" s="36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7"/>
    </row>
    <row r="15" spans="1:47" ht="22.8" customHeight="1" outlineLevel="1" x14ac:dyDescent="0.25">
      <c r="A15" s="27"/>
      <c r="B15" s="41" t="s">
        <v>47</v>
      </c>
      <c r="C15" s="40" t="s">
        <v>48</v>
      </c>
      <c r="D15" s="41" t="s">
        <v>39</v>
      </c>
      <c r="E15" s="42">
        <v>46265</v>
      </c>
      <c r="F15" s="42">
        <v>46271</v>
      </c>
      <c r="G15" s="42">
        <v>46271</v>
      </c>
      <c r="H15" s="41"/>
      <c r="I15" s="41">
        <f t="shared" si="1"/>
        <v>0</v>
      </c>
      <c r="J15" s="41">
        <f t="shared" si="2"/>
        <v>7</v>
      </c>
      <c r="K15" s="30">
        <v>1</v>
      </c>
      <c r="L15" s="31"/>
      <c r="M15" s="32"/>
      <c r="N15" s="32" t="s">
        <v>40</v>
      </c>
      <c r="O15" s="32"/>
      <c r="P15" s="32"/>
      <c r="Q15" s="32"/>
      <c r="R15" s="34"/>
      <c r="S15" s="34"/>
      <c r="T15" s="34"/>
      <c r="U15" s="34"/>
      <c r="V15" s="34"/>
      <c r="W15" s="35"/>
      <c r="X15" s="35"/>
      <c r="Y15" s="35"/>
      <c r="Z15" s="36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7"/>
    </row>
    <row r="16" spans="1:47" ht="26.4" customHeight="1" outlineLevel="1" x14ac:dyDescent="0.25">
      <c r="A16" s="38"/>
      <c r="B16" s="39" t="s">
        <v>49</v>
      </c>
      <c r="C16" s="40" t="s">
        <v>50</v>
      </c>
      <c r="D16" s="41" t="s">
        <v>39</v>
      </c>
      <c r="E16" s="42">
        <v>46265</v>
      </c>
      <c r="F16" s="42">
        <v>46278</v>
      </c>
      <c r="G16" s="42">
        <v>46278</v>
      </c>
      <c r="H16" s="41"/>
      <c r="I16" s="41">
        <f t="shared" si="1"/>
        <v>0</v>
      </c>
      <c r="J16" s="41">
        <f t="shared" si="2"/>
        <v>14</v>
      </c>
      <c r="K16" s="30">
        <v>1</v>
      </c>
      <c r="L16" s="31"/>
      <c r="M16" s="32"/>
      <c r="N16" s="32" t="s">
        <v>40</v>
      </c>
      <c r="O16" s="32" t="s">
        <v>40</v>
      </c>
      <c r="P16" s="32"/>
      <c r="Q16" s="32"/>
      <c r="R16" s="34"/>
      <c r="S16" s="34"/>
      <c r="T16" s="34"/>
      <c r="U16" s="34"/>
      <c r="V16" s="34"/>
      <c r="W16" s="35"/>
      <c r="X16" s="35"/>
      <c r="Y16" s="35"/>
      <c r="Z16" s="36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7"/>
    </row>
    <row r="17" spans="1:47" ht="25.2" customHeight="1" outlineLevel="1" x14ac:dyDescent="0.25">
      <c r="A17" s="27"/>
      <c r="B17" s="41" t="s">
        <v>51</v>
      </c>
      <c r="C17" s="40" t="s">
        <v>52</v>
      </c>
      <c r="D17" s="41" t="s">
        <v>39</v>
      </c>
      <c r="E17" s="42">
        <v>46265</v>
      </c>
      <c r="F17" s="42">
        <v>46278</v>
      </c>
      <c r="G17" s="42">
        <v>46278</v>
      </c>
      <c r="H17" s="41"/>
      <c r="I17" s="41">
        <f t="shared" si="1"/>
        <v>0</v>
      </c>
      <c r="J17" s="41">
        <f t="shared" si="2"/>
        <v>14</v>
      </c>
      <c r="K17" s="30">
        <v>1</v>
      </c>
      <c r="L17" s="31"/>
      <c r="M17" s="32"/>
      <c r="N17" s="32" t="s">
        <v>40</v>
      </c>
      <c r="O17" s="32" t="s">
        <v>40</v>
      </c>
      <c r="P17" s="32"/>
      <c r="Q17" s="32"/>
      <c r="R17" s="34"/>
      <c r="S17" s="34"/>
      <c r="T17" s="34"/>
      <c r="U17" s="34"/>
      <c r="V17" s="34"/>
      <c r="W17" s="35"/>
      <c r="X17" s="35"/>
      <c r="Y17" s="35"/>
      <c r="Z17" s="36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7"/>
    </row>
    <row r="18" spans="1:47" ht="25.2" customHeight="1" outlineLevel="1" x14ac:dyDescent="0.25">
      <c r="A18" s="38"/>
      <c r="B18" s="39" t="s">
        <v>53</v>
      </c>
      <c r="C18" s="40" t="s">
        <v>54</v>
      </c>
      <c r="D18" s="41" t="s">
        <v>39</v>
      </c>
      <c r="E18" s="42">
        <v>46279</v>
      </c>
      <c r="F18" s="42">
        <v>46285</v>
      </c>
      <c r="G18" s="42">
        <v>46285</v>
      </c>
      <c r="H18" s="41"/>
      <c r="I18" s="41">
        <f t="shared" si="1"/>
        <v>0</v>
      </c>
      <c r="J18" s="41">
        <f t="shared" si="2"/>
        <v>7</v>
      </c>
      <c r="K18" s="30">
        <v>0</v>
      </c>
      <c r="L18" s="31"/>
      <c r="M18" s="32"/>
      <c r="N18" s="32"/>
      <c r="O18" s="32"/>
      <c r="P18" s="32" t="s">
        <v>40</v>
      </c>
      <c r="Q18" s="32"/>
      <c r="R18" s="34"/>
      <c r="S18" s="34"/>
      <c r="T18" s="34"/>
      <c r="U18" s="34"/>
      <c r="V18" s="34"/>
      <c r="W18" s="35"/>
      <c r="X18" s="35"/>
      <c r="Y18" s="35"/>
      <c r="Z18" s="36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7"/>
    </row>
    <row r="19" spans="1:47" ht="24.6" customHeight="1" outlineLevel="1" x14ac:dyDescent="0.25">
      <c r="A19" s="27"/>
      <c r="B19" s="41" t="s">
        <v>55</v>
      </c>
      <c r="C19" s="40" t="s">
        <v>56</v>
      </c>
      <c r="D19" s="41" t="s">
        <v>39</v>
      </c>
      <c r="E19" s="42">
        <v>46279</v>
      </c>
      <c r="F19" s="42">
        <v>46285</v>
      </c>
      <c r="G19" s="42">
        <v>46285</v>
      </c>
      <c r="H19" s="41"/>
      <c r="I19" s="41">
        <f t="shared" si="1"/>
        <v>0</v>
      </c>
      <c r="J19" s="41">
        <f t="shared" si="2"/>
        <v>7</v>
      </c>
      <c r="K19" s="30">
        <v>0</v>
      </c>
      <c r="L19" s="31"/>
      <c r="M19" s="32"/>
      <c r="N19" s="32"/>
      <c r="O19" s="32"/>
      <c r="P19" s="32" t="s">
        <v>40</v>
      </c>
      <c r="Q19" s="32"/>
      <c r="R19" s="34"/>
      <c r="S19" s="34"/>
      <c r="T19" s="34"/>
      <c r="U19" s="34"/>
      <c r="V19" s="34"/>
      <c r="W19" s="35"/>
      <c r="X19" s="35"/>
      <c r="Y19" s="35"/>
      <c r="Z19" s="36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7"/>
    </row>
    <row r="20" spans="1:47" ht="27" customHeight="1" outlineLevel="1" x14ac:dyDescent="0.25">
      <c r="A20" s="38"/>
      <c r="B20" s="39" t="s">
        <v>57</v>
      </c>
      <c r="C20" s="40" t="s">
        <v>58</v>
      </c>
      <c r="D20" s="41" t="s">
        <v>39</v>
      </c>
      <c r="E20" s="42">
        <v>46279</v>
      </c>
      <c r="F20" s="42">
        <v>46285</v>
      </c>
      <c r="G20" s="42">
        <v>46285</v>
      </c>
      <c r="H20" s="41"/>
      <c r="I20" s="41">
        <f t="shared" si="1"/>
        <v>0</v>
      </c>
      <c r="J20" s="41">
        <f t="shared" si="2"/>
        <v>7</v>
      </c>
      <c r="K20" s="30">
        <v>0</v>
      </c>
      <c r="L20" s="31"/>
      <c r="M20" s="32"/>
      <c r="N20" s="32"/>
      <c r="O20" s="32"/>
      <c r="P20" s="32" t="s">
        <v>40</v>
      </c>
      <c r="Q20" s="32"/>
      <c r="R20" s="34"/>
      <c r="S20" s="34"/>
      <c r="T20" s="34"/>
      <c r="U20" s="34"/>
      <c r="V20" s="34"/>
      <c r="W20" s="35"/>
      <c r="X20" s="35"/>
      <c r="Y20" s="35"/>
      <c r="Z20" s="36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7"/>
    </row>
    <row r="21" spans="1:47" ht="24.6" customHeight="1" outlineLevel="1" x14ac:dyDescent="0.25">
      <c r="A21" s="27"/>
      <c r="B21" s="41" t="s">
        <v>59</v>
      </c>
      <c r="C21" s="40" t="s">
        <v>60</v>
      </c>
      <c r="D21" s="41" t="s">
        <v>39</v>
      </c>
      <c r="E21" s="42">
        <v>46279</v>
      </c>
      <c r="F21" s="42">
        <v>46292</v>
      </c>
      <c r="G21" s="42">
        <v>46292</v>
      </c>
      <c r="H21" s="41"/>
      <c r="I21" s="41">
        <f t="shared" si="1"/>
        <v>0</v>
      </c>
      <c r="J21" s="41">
        <f t="shared" si="2"/>
        <v>14</v>
      </c>
      <c r="K21" s="30">
        <v>0</v>
      </c>
      <c r="L21" s="31"/>
      <c r="M21" s="32"/>
      <c r="N21" s="32"/>
      <c r="O21" s="32"/>
      <c r="P21" s="32" t="s">
        <v>40</v>
      </c>
      <c r="Q21" s="32" t="s">
        <v>40</v>
      </c>
      <c r="R21" s="34"/>
      <c r="S21" s="34"/>
      <c r="T21" s="34"/>
      <c r="U21" s="34"/>
      <c r="V21" s="34"/>
      <c r="W21" s="35"/>
      <c r="X21" s="35"/>
      <c r="Y21" s="35"/>
      <c r="Z21" s="36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7"/>
    </row>
    <row r="22" spans="1:47" ht="26.4" customHeight="1" outlineLevel="1" x14ac:dyDescent="0.25">
      <c r="A22" s="38"/>
      <c r="B22" s="39" t="s">
        <v>61</v>
      </c>
      <c r="C22" s="40" t="s">
        <v>62</v>
      </c>
      <c r="D22" s="41" t="s">
        <v>39</v>
      </c>
      <c r="E22" s="42">
        <v>46279</v>
      </c>
      <c r="F22" s="42">
        <v>46292</v>
      </c>
      <c r="G22" s="42">
        <v>46292</v>
      </c>
      <c r="H22" s="41"/>
      <c r="I22" s="41">
        <f t="shared" si="1"/>
        <v>0</v>
      </c>
      <c r="J22" s="41">
        <f t="shared" si="2"/>
        <v>14</v>
      </c>
      <c r="K22" s="30">
        <v>0</v>
      </c>
      <c r="L22" s="31"/>
      <c r="M22" s="32"/>
      <c r="N22" s="32"/>
      <c r="O22" s="32"/>
      <c r="P22" s="32" t="s">
        <v>40</v>
      </c>
      <c r="Q22" s="32" t="s">
        <v>40</v>
      </c>
      <c r="R22" s="34"/>
      <c r="S22" s="34"/>
      <c r="T22" s="34"/>
      <c r="U22" s="34"/>
      <c r="V22" s="34"/>
      <c r="W22" s="35"/>
      <c r="X22" s="35"/>
      <c r="Y22" s="35"/>
      <c r="Z22" s="36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7"/>
    </row>
    <row r="23" spans="1:47" ht="24.6" customHeight="1" outlineLevel="1" x14ac:dyDescent="0.25">
      <c r="A23" s="27"/>
      <c r="B23" s="41" t="s">
        <v>63</v>
      </c>
      <c r="C23" s="40" t="s">
        <v>64</v>
      </c>
      <c r="D23" s="41" t="s">
        <v>39</v>
      </c>
      <c r="E23" s="42">
        <v>46279</v>
      </c>
      <c r="F23" s="42">
        <v>46292</v>
      </c>
      <c r="G23" s="42">
        <v>46292</v>
      </c>
      <c r="H23" s="41"/>
      <c r="I23" s="41">
        <f t="shared" si="1"/>
        <v>0</v>
      </c>
      <c r="J23" s="41">
        <f t="shared" si="2"/>
        <v>14</v>
      </c>
      <c r="K23" s="30">
        <v>0</v>
      </c>
      <c r="L23" s="31"/>
      <c r="M23" s="32"/>
      <c r="N23" s="32"/>
      <c r="O23" s="32"/>
      <c r="P23" s="32" t="s">
        <v>40</v>
      </c>
      <c r="Q23" s="32" t="s">
        <v>40</v>
      </c>
      <c r="R23" s="34"/>
      <c r="S23" s="34"/>
      <c r="T23" s="34"/>
      <c r="U23" s="34"/>
      <c r="V23" s="34"/>
      <c r="W23" s="35"/>
      <c r="X23" s="35"/>
      <c r="Y23" s="35"/>
      <c r="Z23" s="36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7"/>
    </row>
    <row r="24" spans="1:47" ht="24" customHeight="1" outlineLevel="1" x14ac:dyDescent="0.25">
      <c r="A24" s="38"/>
      <c r="B24" s="39" t="s">
        <v>65</v>
      </c>
      <c r="C24" s="40" t="s">
        <v>66</v>
      </c>
      <c r="D24" s="41" t="s">
        <v>39</v>
      </c>
      <c r="E24" s="42">
        <v>46286</v>
      </c>
      <c r="F24" s="42">
        <v>46292</v>
      </c>
      <c r="G24" s="42">
        <v>46292</v>
      </c>
      <c r="H24" s="41"/>
      <c r="I24" s="41">
        <f t="shared" si="1"/>
        <v>0</v>
      </c>
      <c r="J24" s="41">
        <f t="shared" si="2"/>
        <v>7</v>
      </c>
      <c r="K24" s="30">
        <v>0</v>
      </c>
      <c r="L24" s="31"/>
      <c r="M24" s="32"/>
      <c r="N24" s="32"/>
      <c r="O24" s="32"/>
      <c r="P24" s="32"/>
      <c r="Q24" s="32" t="s">
        <v>40</v>
      </c>
      <c r="R24" s="34"/>
      <c r="S24" s="34"/>
      <c r="T24" s="34"/>
      <c r="U24" s="34"/>
      <c r="V24" s="34"/>
      <c r="W24" s="35"/>
      <c r="X24" s="35"/>
      <c r="Y24" s="35"/>
      <c r="Z24" s="36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7"/>
    </row>
    <row r="25" spans="1:47" ht="26.4" customHeight="1" outlineLevel="1" x14ac:dyDescent="0.25">
      <c r="A25" s="27"/>
      <c r="B25" s="41" t="s">
        <v>67</v>
      </c>
      <c r="C25" s="40" t="s">
        <v>68</v>
      </c>
      <c r="D25" s="41" t="s">
        <v>39</v>
      </c>
      <c r="E25" s="42">
        <v>46286</v>
      </c>
      <c r="F25" s="42">
        <v>46292</v>
      </c>
      <c r="G25" s="42">
        <v>46292</v>
      </c>
      <c r="H25" s="41"/>
      <c r="I25" s="41">
        <f t="shared" si="1"/>
        <v>0</v>
      </c>
      <c r="J25" s="41">
        <f t="shared" si="2"/>
        <v>7</v>
      </c>
      <c r="K25" s="30">
        <v>0</v>
      </c>
      <c r="L25" s="31"/>
      <c r="M25" s="32"/>
      <c r="N25" s="32"/>
      <c r="O25" s="32"/>
      <c r="P25" s="32"/>
      <c r="Q25" s="32" t="s">
        <v>40</v>
      </c>
      <c r="R25" s="34"/>
      <c r="S25" s="34"/>
      <c r="T25" s="34"/>
      <c r="U25" s="34"/>
      <c r="V25" s="34"/>
      <c r="W25" s="35"/>
      <c r="X25" s="35"/>
      <c r="Y25" s="35"/>
      <c r="Z25" s="36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7"/>
    </row>
    <row r="26" spans="1:47" ht="28.2" customHeight="1" outlineLevel="1" x14ac:dyDescent="0.25">
      <c r="A26" s="38"/>
      <c r="B26" s="39" t="s">
        <v>69</v>
      </c>
      <c r="C26" s="40" t="s">
        <v>70</v>
      </c>
      <c r="D26" s="41" t="s">
        <v>39</v>
      </c>
      <c r="E26" s="42">
        <v>46286</v>
      </c>
      <c r="F26" s="42">
        <v>46292</v>
      </c>
      <c r="G26" s="42">
        <v>46292</v>
      </c>
      <c r="H26" s="41"/>
      <c r="I26" s="41">
        <f t="shared" si="1"/>
        <v>0</v>
      </c>
      <c r="J26" s="41">
        <f t="shared" si="2"/>
        <v>7</v>
      </c>
      <c r="K26" s="30">
        <v>0</v>
      </c>
      <c r="L26" s="31"/>
      <c r="M26" s="32"/>
      <c r="N26" s="32"/>
      <c r="O26" s="32"/>
      <c r="P26" s="32"/>
      <c r="Q26" s="32" t="s">
        <v>40</v>
      </c>
      <c r="R26" s="34"/>
      <c r="S26" s="34"/>
      <c r="T26" s="34"/>
      <c r="U26" s="34"/>
      <c r="V26" s="34"/>
      <c r="W26" s="35"/>
      <c r="X26" s="35"/>
      <c r="Y26" s="35"/>
      <c r="Z26" s="36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7"/>
    </row>
    <row r="27" spans="1:47" ht="25.8" customHeight="1" outlineLevel="1" x14ac:dyDescent="0.25">
      <c r="A27" s="27"/>
      <c r="B27" s="41" t="s">
        <v>71</v>
      </c>
      <c r="C27" s="40" t="s">
        <v>72</v>
      </c>
      <c r="D27" s="41" t="s">
        <v>39</v>
      </c>
      <c r="E27" s="42">
        <v>46286</v>
      </c>
      <c r="F27" s="42">
        <v>46292</v>
      </c>
      <c r="G27" s="42">
        <v>46292</v>
      </c>
      <c r="H27" s="41"/>
      <c r="I27" s="41">
        <f t="shared" si="1"/>
        <v>0</v>
      </c>
      <c r="J27" s="41">
        <f t="shared" si="2"/>
        <v>7</v>
      </c>
      <c r="K27" s="30">
        <v>0</v>
      </c>
      <c r="L27" s="31"/>
      <c r="M27" s="32"/>
      <c r="N27" s="32"/>
      <c r="O27" s="32"/>
      <c r="P27" s="32"/>
      <c r="Q27" s="32" t="s">
        <v>40</v>
      </c>
      <c r="R27" s="34"/>
      <c r="S27" s="34"/>
      <c r="T27" s="34"/>
      <c r="U27" s="34"/>
      <c r="V27" s="34"/>
      <c r="W27" s="35"/>
      <c r="X27" s="35"/>
      <c r="Y27" s="35"/>
      <c r="Z27" s="36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7"/>
    </row>
    <row r="28" spans="1:47" ht="24.6" customHeight="1" outlineLevel="1" x14ac:dyDescent="0.25">
      <c r="A28" s="27"/>
      <c r="B28" s="41" t="s">
        <v>73</v>
      </c>
      <c r="C28" s="40" t="s">
        <v>74</v>
      </c>
      <c r="D28" s="41" t="s">
        <v>39</v>
      </c>
      <c r="E28" s="42">
        <v>46293</v>
      </c>
      <c r="F28" s="42">
        <v>46299</v>
      </c>
      <c r="G28" s="42">
        <v>46299</v>
      </c>
      <c r="H28" s="41"/>
      <c r="I28" s="41">
        <f t="shared" si="1"/>
        <v>0</v>
      </c>
      <c r="J28" s="41">
        <f t="shared" si="2"/>
        <v>7</v>
      </c>
      <c r="K28" s="30">
        <v>0</v>
      </c>
      <c r="L28" s="31"/>
      <c r="M28" s="32"/>
      <c r="N28" s="32"/>
      <c r="O28" s="32"/>
      <c r="P28" s="32"/>
      <c r="Q28" s="32"/>
      <c r="R28" s="34" t="s">
        <v>40</v>
      </c>
      <c r="S28" s="34"/>
      <c r="T28" s="34"/>
      <c r="U28" s="34"/>
      <c r="V28" s="34"/>
      <c r="W28" s="35"/>
      <c r="X28" s="35"/>
      <c r="Y28" s="35"/>
      <c r="Z28" s="36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7"/>
    </row>
    <row r="29" spans="1:47" ht="35.4" customHeight="1" outlineLevel="1" x14ac:dyDescent="0.25">
      <c r="A29" s="38"/>
      <c r="B29" s="39" t="s">
        <v>75</v>
      </c>
      <c r="C29" s="40" t="s">
        <v>76</v>
      </c>
      <c r="D29" s="41" t="s">
        <v>39</v>
      </c>
      <c r="E29" s="42">
        <v>46293</v>
      </c>
      <c r="F29" s="42">
        <v>46299</v>
      </c>
      <c r="G29" s="42">
        <v>46299</v>
      </c>
      <c r="H29" s="41"/>
      <c r="I29" s="41">
        <f t="shared" si="1"/>
        <v>0</v>
      </c>
      <c r="J29" s="41">
        <f t="shared" si="2"/>
        <v>7</v>
      </c>
      <c r="K29" s="30">
        <v>0</v>
      </c>
      <c r="L29" s="31"/>
      <c r="M29" s="32"/>
      <c r="N29" s="32"/>
      <c r="O29" s="32"/>
      <c r="P29" s="32"/>
      <c r="Q29" s="32"/>
      <c r="R29" s="34" t="s">
        <v>40</v>
      </c>
      <c r="S29" s="34"/>
      <c r="T29" s="34"/>
      <c r="U29" s="34"/>
      <c r="V29" s="34"/>
      <c r="W29" s="35"/>
      <c r="X29" s="35"/>
      <c r="Y29" s="35"/>
      <c r="Z29" s="36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7"/>
    </row>
    <row r="30" spans="1:47" ht="30" customHeight="1" outlineLevel="1" x14ac:dyDescent="0.25">
      <c r="A30" s="38"/>
      <c r="B30" s="39" t="s">
        <v>77</v>
      </c>
      <c r="C30" s="40" t="s">
        <v>78</v>
      </c>
      <c r="D30" s="41" t="s">
        <v>39</v>
      </c>
      <c r="E30" s="42">
        <v>46293</v>
      </c>
      <c r="F30" s="42">
        <v>46306</v>
      </c>
      <c r="G30" s="42">
        <v>46306</v>
      </c>
      <c r="H30" s="41"/>
      <c r="I30" s="41">
        <f t="shared" si="1"/>
        <v>0</v>
      </c>
      <c r="J30" s="41">
        <f t="shared" si="2"/>
        <v>14</v>
      </c>
      <c r="K30" s="30">
        <v>0</v>
      </c>
      <c r="L30" s="31"/>
      <c r="M30" s="32"/>
      <c r="N30" s="32"/>
      <c r="O30" s="32"/>
      <c r="P30" s="32"/>
      <c r="Q30" s="32"/>
      <c r="R30" s="34" t="s">
        <v>40</v>
      </c>
      <c r="S30" s="34" t="s">
        <v>40</v>
      </c>
      <c r="T30" s="34"/>
      <c r="U30" s="34"/>
      <c r="V30" s="34"/>
      <c r="W30" s="35"/>
      <c r="X30" s="35"/>
      <c r="Y30" s="35"/>
      <c r="Z30" s="36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7"/>
    </row>
    <row r="31" spans="1:47" ht="30.6" customHeight="1" outlineLevel="1" x14ac:dyDescent="0.25">
      <c r="A31" s="38"/>
      <c r="B31" s="39" t="s">
        <v>79</v>
      </c>
      <c r="C31" s="40" t="s">
        <v>80</v>
      </c>
      <c r="D31" s="41" t="s">
        <v>39</v>
      </c>
      <c r="E31" s="42">
        <v>46293</v>
      </c>
      <c r="F31" s="42">
        <v>46299</v>
      </c>
      <c r="G31" s="42">
        <v>46299</v>
      </c>
      <c r="H31" s="41"/>
      <c r="I31" s="43">
        <f t="shared" si="1"/>
        <v>0</v>
      </c>
      <c r="J31" s="43">
        <f t="shared" si="2"/>
        <v>7</v>
      </c>
      <c r="K31" s="30">
        <v>0</v>
      </c>
      <c r="L31" s="31"/>
      <c r="M31" s="32"/>
      <c r="N31" s="32"/>
      <c r="O31" s="32"/>
      <c r="P31" s="32"/>
      <c r="Q31" s="32"/>
      <c r="R31" s="34" t="s">
        <v>40</v>
      </c>
      <c r="S31" s="34"/>
      <c r="T31" s="34"/>
      <c r="U31" s="34"/>
      <c r="V31" s="34"/>
      <c r="W31" s="35"/>
      <c r="X31" s="35"/>
      <c r="Y31" s="35"/>
      <c r="Z31" s="36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7"/>
    </row>
    <row r="32" spans="1:47" ht="26.4" customHeight="1" outlineLevel="1" x14ac:dyDescent="0.25">
      <c r="A32" s="38"/>
      <c r="B32" s="39" t="s">
        <v>81</v>
      </c>
      <c r="C32" s="40" t="s">
        <v>82</v>
      </c>
      <c r="D32" s="41" t="s">
        <v>39</v>
      </c>
      <c r="E32" s="42">
        <v>46293</v>
      </c>
      <c r="F32" s="42">
        <v>46306</v>
      </c>
      <c r="G32" s="42">
        <v>46306</v>
      </c>
      <c r="H32" s="41"/>
      <c r="I32" s="41">
        <f t="shared" si="1"/>
        <v>0</v>
      </c>
      <c r="J32" s="41">
        <f t="shared" si="2"/>
        <v>14</v>
      </c>
      <c r="K32" s="30">
        <v>0</v>
      </c>
      <c r="L32" s="31"/>
      <c r="M32" s="32"/>
      <c r="N32" s="32"/>
      <c r="O32" s="32"/>
      <c r="P32" s="32"/>
      <c r="Q32" s="32"/>
      <c r="R32" s="34" t="s">
        <v>40</v>
      </c>
      <c r="S32" s="34" t="s">
        <v>40</v>
      </c>
      <c r="T32" s="34"/>
      <c r="U32" s="34"/>
      <c r="V32" s="34"/>
      <c r="W32" s="35"/>
      <c r="X32" s="35"/>
      <c r="Y32" s="35"/>
      <c r="Z32" s="36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7"/>
    </row>
    <row r="33" spans="1:47" ht="27" customHeight="1" outlineLevel="1" x14ac:dyDescent="0.25">
      <c r="A33" s="38"/>
      <c r="B33" s="39" t="s">
        <v>83</v>
      </c>
      <c r="C33" s="40" t="s">
        <v>84</v>
      </c>
      <c r="D33" s="41" t="s">
        <v>39</v>
      </c>
      <c r="E33" s="42">
        <v>46300</v>
      </c>
      <c r="F33" s="42">
        <v>46306</v>
      </c>
      <c r="G33" s="42">
        <v>46306</v>
      </c>
      <c r="H33" s="41"/>
      <c r="I33" s="41">
        <f t="shared" si="1"/>
        <v>0</v>
      </c>
      <c r="J33" s="41">
        <f t="shared" si="2"/>
        <v>7</v>
      </c>
      <c r="K33" s="30">
        <v>0</v>
      </c>
      <c r="L33" s="31"/>
      <c r="M33" s="32"/>
      <c r="N33" s="32"/>
      <c r="O33" s="32"/>
      <c r="P33" s="32"/>
      <c r="Q33" s="32"/>
      <c r="R33" s="34"/>
      <c r="S33" s="34" t="s">
        <v>40</v>
      </c>
      <c r="T33" s="34"/>
      <c r="U33" s="34"/>
      <c r="V33" s="34"/>
      <c r="W33" s="35"/>
      <c r="X33" s="35"/>
      <c r="Y33" s="35"/>
      <c r="Z33" s="36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7"/>
    </row>
    <row r="34" spans="1:47" ht="26.4" customHeight="1" outlineLevel="1" x14ac:dyDescent="0.25">
      <c r="A34" s="27"/>
      <c r="B34" s="41" t="s">
        <v>85</v>
      </c>
      <c r="C34" s="40" t="s">
        <v>86</v>
      </c>
      <c r="D34" s="41" t="s">
        <v>39</v>
      </c>
      <c r="E34" s="42">
        <v>46300</v>
      </c>
      <c r="F34" s="42">
        <v>46306</v>
      </c>
      <c r="G34" s="42">
        <v>46306</v>
      </c>
      <c r="H34" s="41"/>
      <c r="I34" s="41">
        <f t="shared" si="1"/>
        <v>0</v>
      </c>
      <c r="J34" s="41">
        <f t="shared" si="2"/>
        <v>7</v>
      </c>
      <c r="K34" s="30">
        <v>0</v>
      </c>
      <c r="L34" s="31"/>
      <c r="M34" s="32"/>
      <c r="N34" s="32"/>
      <c r="O34" s="32"/>
      <c r="P34" s="32"/>
      <c r="Q34" s="32"/>
      <c r="R34" s="34"/>
      <c r="S34" s="34" t="s">
        <v>40</v>
      </c>
      <c r="T34" s="34"/>
      <c r="U34" s="34"/>
      <c r="V34" s="34"/>
      <c r="W34" s="35"/>
      <c r="X34" s="35"/>
      <c r="Y34" s="35"/>
      <c r="Z34" s="36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7"/>
    </row>
    <row r="35" spans="1:47" ht="33" customHeight="1" outlineLevel="1" x14ac:dyDescent="0.25">
      <c r="A35" s="27"/>
      <c r="B35" s="41" t="s">
        <v>87</v>
      </c>
      <c r="C35" s="40" t="s">
        <v>88</v>
      </c>
      <c r="D35" s="41" t="s">
        <v>39</v>
      </c>
      <c r="E35" s="42">
        <v>46300</v>
      </c>
      <c r="F35" s="42">
        <v>46306</v>
      </c>
      <c r="G35" s="42">
        <v>46306</v>
      </c>
      <c r="H35" s="41"/>
      <c r="I35" s="41">
        <f t="shared" si="1"/>
        <v>0</v>
      </c>
      <c r="J35" s="41">
        <f t="shared" si="2"/>
        <v>7</v>
      </c>
      <c r="K35" s="30">
        <v>0</v>
      </c>
      <c r="L35" s="31"/>
      <c r="M35" s="32"/>
      <c r="N35" s="32"/>
      <c r="O35" s="32"/>
      <c r="P35" s="32"/>
      <c r="Q35" s="32"/>
      <c r="R35" s="34"/>
      <c r="S35" s="34" t="s">
        <v>40</v>
      </c>
      <c r="T35" s="34"/>
      <c r="U35" s="34"/>
      <c r="V35" s="34"/>
      <c r="W35" s="35"/>
      <c r="X35" s="35"/>
      <c r="Y35" s="35"/>
      <c r="Z35" s="36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7"/>
    </row>
    <row r="36" spans="1:47" ht="30.6" customHeight="1" outlineLevel="1" x14ac:dyDescent="0.25">
      <c r="A36" s="27"/>
      <c r="B36" s="44" t="s">
        <v>89</v>
      </c>
      <c r="C36" s="45" t="s">
        <v>90</v>
      </c>
      <c r="D36" s="44" t="s">
        <v>39</v>
      </c>
      <c r="E36" s="46">
        <v>46300</v>
      </c>
      <c r="F36" s="46">
        <v>46306</v>
      </c>
      <c r="G36" s="46">
        <v>46306</v>
      </c>
      <c r="H36" s="44"/>
      <c r="I36" s="44">
        <f t="shared" si="1"/>
        <v>0</v>
      </c>
      <c r="J36" s="44">
        <f t="shared" si="2"/>
        <v>7</v>
      </c>
      <c r="K36" s="30">
        <v>0</v>
      </c>
      <c r="L36" s="31"/>
      <c r="M36" s="32"/>
      <c r="N36" s="32"/>
      <c r="O36" s="32"/>
      <c r="P36" s="32"/>
      <c r="Q36" s="32"/>
      <c r="R36" s="34"/>
      <c r="S36" s="34" t="s">
        <v>40</v>
      </c>
      <c r="T36" s="34"/>
      <c r="U36" s="34"/>
      <c r="V36" s="34"/>
      <c r="W36" s="35"/>
      <c r="X36" s="35"/>
      <c r="Y36" s="35"/>
      <c r="Z36" s="36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7"/>
    </row>
    <row r="37" spans="1:47" ht="17.25" customHeight="1" outlineLevel="1" x14ac:dyDescent="0.25">
      <c r="A37" s="47"/>
      <c r="B37" s="79" t="s">
        <v>91</v>
      </c>
      <c r="C37" s="80" t="s">
        <v>92</v>
      </c>
      <c r="D37" s="79" t="s">
        <v>39</v>
      </c>
      <c r="E37" s="81">
        <v>46307</v>
      </c>
      <c r="F37" s="81">
        <v>46313</v>
      </c>
      <c r="G37" s="81">
        <v>46313</v>
      </c>
      <c r="H37" s="82"/>
      <c r="I37" s="83">
        <f t="shared" si="1"/>
        <v>0</v>
      </c>
      <c r="J37" s="83">
        <f t="shared" si="2"/>
        <v>7</v>
      </c>
      <c r="K37" s="54">
        <v>0</v>
      </c>
      <c r="L37" s="55"/>
      <c r="M37" s="55"/>
      <c r="N37" s="55"/>
      <c r="O37" s="55"/>
      <c r="P37" s="55"/>
      <c r="Q37" s="55"/>
      <c r="R37" s="56"/>
      <c r="S37" s="56"/>
      <c r="T37" s="56" t="s">
        <v>40</v>
      </c>
      <c r="U37" s="56"/>
      <c r="V37" s="56"/>
      <c r="W37" s="57"/>
      <c r="X37" s="57"/>
      <c r="Y37" s="57"/>
      <c r="Z37" s="58"/>
      <c r="AA37" s="56"/>
      <c r="AB37" s="56" t="str">
        <f t="shared" ref="AB37:AC50" si="3">IF(AND($E37&lt;=AB$10,AB$10&lt;=$F37),"X","")</f>
        <v/>
      </c>
      <c r="AC37" s="56" t="str">
        <f t="shared" si="3"/>
        <v/>
      </c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7"/>
    </row>
    <row r="38" spans="1:47" ht="17.25" customHeight="1" outlineLevel="1" x14ac:dyDescent="0.25">
      <c r="A38" s="47"/>
      <c r="B38" s="79" t="s">
        <v>93</v>
      </c>
      <c r="C38" s="80" t="s">
        <v>94</v>
      </c>
      <c r="D38" s="79" t="s">
        <v>39</v>
      </c>
      <c r="E38" s="81">
        <v>46314</v>
      </c>
      <c r="F38" s="81">
        <v>46327</v>
      </c>
      <c r="G38" s="81">
        <v>46327</v>
      </c>
      <c r="H38" s="82"/>
      <c r="I38" s="83">
        <f t="shared" si="1"/>
        <v>0</v>
      </c>
      <c r="J38" s="83">
        <f t="shared" si="2"/>
        <v>13</v>
      </c>
      <c r="K38" s="54">
        <v>0</v>
      </c>
      <c r="L38" s="55"/>
      <c r="M38" s="55"/>
      <c r="N38" s="55"/>
      <c r="O38" s="55"/>
      <c r="P38" s="55"/>
      <c r="Q38" s="55"/>
      <c r="R38" s="56"/>
      <c r="S38" s="56"/>
      <c r="T38" s="56"/>
      <c r="U38" s="56" t="s">
        <v>40</v>
      </c>
      <c r="V38" s="56" t="s">
        <v>40</v>
      </c>
      <c r="W38" s="57"/>
      <c r="X38" s="57"/>
      <c r="Y38" s="57"/>
      <c r="Z38" s="58"/>
      <c r="AA38" s="56"/>
      <c r="AB38" s="56" t="str">
        <f t="shared" si="3"/>
        <v/>
      </c>
      <c r="AC38" s="56" t="str">
        <f t="shared" si="3"/>
        <v/>
      </c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7"/>
    </row>
    <row r="39" spans="1:47" ht="17.25" customHeight="1" outlineLevel="1" x14ac:dyDescent="0.25">
      <c r="A39" s="47"/>
      <c r="B39" s="79" t="s">
        <v>95</v>
      </c>
      <c r="C39" s="80" t="s">
        <v>96</v>
      </c>
      <c r="D39" s="79" t="s">
        <v>39</v>
      </c>
      <c r="E39" s="81">
        <v>46314</v>
      </c>
      <c r="F39" s="81">
        <v>46327</v>
      </c>
      <c r="G39" s="81">
        <v>46327</v>
      </c>
      <c r="H39" s="82"/>
      <c r="I39" s="83">
        <f t="shared" si="1"/>
        <v>0</v>
      </c>
      <c r="J39" s="83">
        <f t="shared" si="2"/>
        <v>13</v>
      </c>
      <c r="K39" s="54">
        <v>0</v>
      </c>
      <c r="L39" s="55"/>
      <c r="M39" s="55"/>
      <c r="N39" s="55"/>
      <c r="O39" s="55"/>
      <c r="P39" s="55"/>
      <c r="Q39" s="55"/>
      <c r="R39" s="56"/>
      <c r="S39" s="56"/>
      <c r="T39" s="56"/>
      <c r="U39" s="56" t="s">
        <v>40</v>
      </c>
      <c r="V39" s="56" t="s">
        <v>40</v>
      </c>
      <c r="W39" s="57"/>
      <c r="X39" s="57"/>
      <c r="Y39" s="57"/>
      <c r="Z39" s="58"/>
      <c r="AA39" s="56"/>
      <c r="AB39" s="56" t="str">
        <f t="shared" si="3"/>
        <v/>
      </c>
      <c r="AC39" s="56" t="str">
        <f t="shared" si="3"/>
        <v/>
      </c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7"/>
    </row>
    <row r="40" spans="1:47" ht="17.25" customHeight="1" outlineLevel="1" x14ac:dyDescent="0.25">
      <c r="A40" s="47"/>
      <c r="B40" s="79" t="s">
        <v>97</v>
      </c>
      <c r="C40" s="80" t="s">
        <v>98</v>
      </c>
      <c r="D40" s="79" t="s">
        <v>39</v>
      </c>
      <c r="E40" s="81">
        <v>46321</v>
      </c>
      <c r="F40" s="81">
        <v>46334</v>
      </c>
      <c r="G40" s="81">
        <v>46334</v>
      </c>
      <c r="H40" s="82"/>
      <c r="I40" s="83">
        <f t="shared" si="1"/>
        <v>0</v>
      </c>
      <c r="J40" s="83">
        <f t="shared" si="2"/>
        <v>13</v>
      </c>
      <c r="K40" s="54">
        <v>0</v>
      </c>
      <c r="L40" s="55"/>
      <c r="M40" s="55"/>
      <c r="N40" s="55"/>
      <c r="O40" s="55"/>
      <c r="P40" s="55"/>
      <c r="Q40" s="55"/>
      <c r="R40" s="56"/>
      <c r="S40" s="56"/>
      <c r="T40" s="56"/>
      <c r="U40" s="56"/>
      <c r="V40" s="56" t="s">
        <v>40</v>
      </c>
      <c r="W40" s="57" t="s">
        <v>40</v>
      </c>
      <c r="X40" s="57"/>
      <c r="Y40" s="57"/>
      <c r="Z40" s="58"/>
      <c r="AA40" s="56"/>
      <c r="AB40" s="56" t="str">
        <f t="shared" si="3"/>
        <v/>
      </c>
      <c r="AC40" s="56" t="str">
        <f t="shared" si="3"/>
        <v/>
      </c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7"/>
    </row>
    <row r="41" spans="1:47" ht="17.25" customHeight="1" outlineLevel="1" x14ac:dyDescent="0.25">
      <c r="A41" s="47"/>
      <c r="B41" s="79" t="s">
        <v>99</v>
      </c>
      <c r="C41" s="80" t="s">
        <v>100</v>
      </c>
      <c r="D41" s="79" t="s">
        <v>39</v>
      </c>
      <c r="E41" s="81">
        <v>46328</v>
      </c>
      <c r="F41" s="81">
        <v>46334</v>
      </c>
      <c r="G41" s="81">
        <v>46334</v>
      </c>
      <c r="H41" s="82"/>
      <c r="I41" s="83">
        <f t="shared" si="1"/>
        <v>0</v>
      </c>
      <c r="J41" s="83">
        <f t="shared" si="2"/>
        <v>7</v>
      </c>
      <c r="K41" s="54">
        <v>0</v>
      </c>
      <c r="L41" s="55"/>
      <c r="M41" s="55"/>
      <c r="N41" s="55"/>
      <c r="O41" s="55"/>
      <c r="P41" s="55"/>
      <c r="Q41" s="55"/>
      <c r="R41" s="56"/>
      <c r="S41" s="56"/>
      <c r="T41" s="56"/>
      <c r="U41" s="56"/>
      <c r="V41" s="56"/>
      <c r="W41" s="57" t="s">
        <v>40</v>
      </c>
      <c r="X41" s="57"/>
      <c r="Y41" s="57"/>
      <c r="Z41" s="58"/>
      <c r="AA41" s="56"/>
      <c r="AB41" s="56" t="str">
        <f t="shared" si="3"/>
        <v/>
      </c>
      <c r="AC41" s="56" t="str">
        <f t="shared" si="3"/>
        <v/>
      </c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7"/>
    </row>
    <row r="42" spans="1:47" ht="17.25" customHeight="1" outlineLevel="1" x14ac:dyDescent="0.25">
      <c r="A42" s="47"/>
      <c r="B42" s="79" t="s">
        <v>101</v>
      </c>
      <c r="C42" s="80" t="s">
        <v>102</v>
      </c>
      <c r="D42" s="79" t="s">
        <v>39</v>
      </c>
      <c r="E42" s="81">
        <v>46335</v>
      </c>
      <c r="F42" s="81">
        <v>46341</v>
      </c>
      <c r="G42" s="81">
        <v>46341</v>
      </c>
      <c r="H42" s="82"/>
      <c r="I42" s="83">
        <f t="shared" si="1"/>
        <v>0</v>
      </c>
      <c r="J42" s="83">
        <f t="shared" si="2"/>
        <v>7</v>
      </c>
      <c r="K42" s="54">
        <v>0</v>
      </c>
      <c r="L42" s="55"/>
      <c r="M42" s="55"/>
      <c r="N42" s="55"/>
      <c r="O42" s="55"/>
      <c r="P42" s="55"/>
      <c r="Q42" s="55"/>
      <c r="R42" s="56"/>
      <c r="S42" s="56"/>
      <c r="T42" s="56"/>
      <c r="U42" s="56"/>
      <c r="V42" s="56"/>
      <c r="W42" s="57"/>
      <c r="X42" s="57" t="s">
        <v>40</v>
      </c>
      <c r="Y42" s="57"/>
      <c r="Z42" s="58"/>
      <c r="AA42" s="56"/>
      <c r="AB42" s="56" t="str">
        <f t="shared" si="3"/>
        <v/>
      </c>
      <c r="AC42" s="56" t="str">
        <f t="shared" si="3"/>
        <v/>
      </c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7"/>
    </row>
    <row r="43" spans="1:47" ht="17.25" customHeight="1" outlineLevel="1" x14ac:dyDescent="0.25">
      <c r="A43" s="47"/>
      <c r="B43" s="79" t="s">
        <v>103</v>
      </c>
      <c r="C43" s="80" t="s">
        <v>104</v>
      </c>
      <c r="D43" s="79" t="s">
        <v>39</v>
      </c>
      <c r="E43" s="81">
        <v>46335</v>
      </c>
      <c r="F43" s="81">
        <v>46341</v>
      </c>
      <c r="G43" s="81">
        <v>46341</v>
      </c>
      <c r="H43" s="82"/>
      <c r="I43" s="83">
        <f t="shared" si="1"/>
        <v>0</v>
      </c>
      <c r="J43" s="83">
        <f t="shared" si="2"/>
        <v>7</v>
      </c>
      <c r="K43" s="54">
        <v>0</v>
      </c>
      <c r="L43" s="55"/>
      <c r="M43" s="55"/>
      <c r="N43" s="55"/>
      <c r="O43" s="55"/>
      <c r="P43" s="55"/>
      <c r="Q43" s="55"/>
      <c r="R43" s="56"/>
      <c r="S43" s="56"/>
      <c r="T43" s="56"/>
      <c r="U43" s="56"/>
      <c r="V43" s="56"/>
      <c r="W43" s="57"/>
      <c r="X43" s="57" t="s">
        <v>40</v>
      </c>
      <c r="Y43" s="57"/>
      <c r="Z43" s="58"/>
      <c r="AA43" s="56"/>
      <c r="AB43" s="56" t="str">
        <f t="shared" si="3"/>
        <v/>
      </c>
      <c r="AC43" s="56" t="str">
        <f t="shared" si="3"/>
        <v/>
      </c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7"/>
    </row>
    <row r="44" spans="1:47" ht="17.25" customHeight="1" outlineLevel="1" x14ac:dyDescent="0.25">
      <c r="A44" s="47"/>
      <c r="B44" s="79" t="s">
        <v>105</v>
      </c>
      <c r="C44" s="80" t="s">
        <v>106</v>
      </c>
      <c r="D44" s="79" t="s">
        <v>39</v>
      </c>
      <c r="E44" s="81">
        <v>46335</v>
      </c>
      <c r="F44" s="81">
        <v>46341</v>
      </c>
      <c r="G44" s="81">
        <v>46341</v>
      </c>
      <c r="H44" s="82"/>
      <c r="I44" s="83">
        <f t="shared" si="1"/>
        <v>0</v>
      </c>
      <c r="J44" s="83">
        <f t="shared" si="2"/>
        <v>7</v>
      </c>
      <c r="K44" s="54">
        <v>0</v>
      </c>
      <c r="L44" s="55"/>
      <c r="M44" s="55"/>
      <c r="N44" s="55"/>
      <c r="O44" s="55"/>
      <c r="P44" s="55"/>
      <c r="Q44" s="55"/>
      <c r="R44" s="56"/>
      <c r="S44" s="56"/>
      <c r="T44" s="56"/>
      <c r="U44" s="56"/>
      <c r="V44" s="56"/>
      <c r="W44" s="57"/>
      <c r="X44" s="57" t="s">
        <v>40</v>
      </c>
      <c r="Y44" s="57"/>
      <c r="Z44" s="58"/>
      <c r="AA44" s="56"/>
      <c r="AB44" s="56" t="str">
        <f t="shared" si="3"/>
        <v/>
      </c>
      <c r="AC44" s="56" t="str">
        <f t="shared" si="3"/>
        <v/>
      </c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7"/>
    </row>
    <row r="45" spans="1:47" ht="17.25" customHeight="1" outlineLevel="1" x14ac:dyDescent="0.25">
      <c r="A45" s="47"/>
      <c r="B45" s="79" t="s">
        <v>107</v>
      </c>
      <c r="C45" s="80" t="s">
        <v>108</v>
      </c>
      <c r="D45" s="79" t="s">
        <v>39</v>
      </c>
      <c r="E45" s="81">
        <v>46342</v>
      </c>
      <c r="F45" s="81">
        <v>46348</v>
      </c>
      <c r="G45" s="81">
        <v>46348</v>
      </c>
      <c r="H45" s="82"/>
      <c r="I45" s="83">
        <f t="shared" si="1"/>
        <v>0</v>
      </c>
      <c r="J45" s="83">
        <f t="shared" si="2"/>
        <v>7</v>
      </c>
      <c r="K45" s="54">
        <v>0</v>
      </c>
      <c r="L45" s="55"/>
      <c r="M45" s="55"/>
      <c r="N45" s="55"/>
      <c r="O45" s="55"/>
      <c r="P45" s="55"/>
      <c r="Q45" s="55"/>
      <c r="R45" s="56"/>
      <c r="S45" s="56"/>
      <c r="T45" s="56"/>
      <c r="U45" s="56"/>
      <c r="V45" s="56"/>
      <c r="W45" s="57"/>
      <c r="X45" s="57"/>
      <c r="Y45" s="57" t="s">
        <v>40</v>
      </c>
      <c r="Z45" s="58"/>
      <c r="AA45" s="56"/>
      <c r="AB45" s="56" t="str">
        <f t="shared" si="3"/>
        <v/>
      </c>
      <c r="AC45" s="56" t="str">
        <f t="shared" si="3"/>
        <v/>
      </c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7"/>
    </row>
    <row r="46" spans="1:47" ht="17.25" customHeight="1" outlineLevel="1" x14ac:dyDescent="0.25">
      <c r="A46" s="47"/>
      <c r="B46" s="79" t="s">
        <v>109</v>
      </c>
      <c r="C46" s="80" t="s">
        <v>110</v>
      </c>
      <c r="D46" s="79" t="s">
        <v>39</v>
      </c>
      <c r="E46" s="81">
        <v>46342</v>
      </c>
      <c r="F46" s="81">
        <v>46348</v>
      </c>
      <c r="G46" s="81">
        <v>46348</v>
      </c>
      <c r="H46" s="82"/>
      <c r="I46" s="83">
        <f t="shared" si="1"/>
        <v>0</v>
      </c>
      <c r="J46" s="83">
        <f t="shared" si="2"/>
        <v>7</v>
      </c>
      <c r="K46" s="54">
        <v>0</v>
      </c>
      <c r="L46" s="55"/>
      <c r="M46" s="55"/>
      <c r="N46" s="55"/>
      <c r="O46" s="55"/>
      <c r="P46" s="55"/>
      <c r="Q46" s="55"/>
      <c r="R46" s="56"/>
      <c r="S46" s="56"/>
      <c r="T46" s="56"/>
      <c r="U46" s="56"/>
      <c r="V46" s="56"/>
      <c r="W46" s="57"/>
      <c r="X46" s="57"/>
      <c r="Y46" s="57" t="s">
        <v>40</v>
      </c>
      <c r="Z46" s="58"/>
      <c r="AA46" s="56"/>
      <c r="AB46" s="56" t="str">
        <f t="shared" si="3"/>
        <v/>
      </c>
      <c r="AC46" s="56" t="str">
        <f t="shared" si="3"/>
        <v/>
      </c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7"/>
    </row>
    <row r="47" spans="1:47" ht="17.25" customHeight="1" outlineLevel="1" x14ac:dyDescent="0.25">
      <c r="A47" s="47"/>
      <c r="B47" s="79" t="s">
        <v>111</v>
      </c>
      <c r="C47" s="80" t="s">
        <v>112</v>
      </c>
      <c r="D47" s="79" t="s">
        <v>39</v>
      </c>
      <c r="E47" s="81">
        <v>46342</v>
      </c>
      <c r="F47" s="81">
        <v>46348</v>
      </c>
      <c r="G47" s="81">
        <v>46348</v>
      </c>
      <c r="H47" s="82"/>
      <c r="I47" s="83">
        <f t="shared" si="1"/>
        <v>0</v>
      </c>
      <c r="J47" s="83">
        <f t="shared" si="2"/>
        <v>7</v>
      </c>
      <c r="K47" s="54">
        <v>0</v>
      </c>
      <c r="L47" s="55"/>
      <c r="M47" s="55"/>
      <c r="N47" s="55"/>
      <c r="O47" s="55"/>
      <c r="P47" s="55"/>
      <c r="Q47" s="55"/>
      <c r="R47" s="56"/>
      <c r="S47" s="56"/>
      <c r="T47" s="56"/>
      <c r="U47" s="56"/>
      <c r="V47" s="56"/>
      <c r="W47" s="57"/>
      <c r="X47" s="57"/>
      <c r="Y47" s="57" t="s">
        <v>40</v>
      </c>
      <c r="Z47" s="58"/>
      <c r="AA47" s="56"/>
      <c r="AB47" s="56" t="str">
        <f t="shared" si="3"/>
        <v/>
      </c>
      <c r="AC47" s="56" t="str">
        <f t="shared" si="3"/>
        <v/>
      </c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7"/>
    </row>
    <row r="48" spans="1:47" ht="17.25" customHeight="1" outlineLevel="1" x14ac:dyDescent="0.25">
      <c r="A48" s="47"/>
      <c r="B48" s="79" t="s">
        <v>113</v>
      </c>
      <c r="C48" s="80" t="s">
        <v>114</v>
      </c>
      <c r="D48" s="79" t="s">
        <v>39</v>
      </c>
      <c r="E48" s="81">
        <v>46342</v>
      </c>
      <c r="F48" s="81">
        <v>46348</v>
      </c>
      <c r="G48" s="81">
        <v>46348</v>
      </c>
      <c r="H48" s="82"/>
      <c r="I48" s="83">
        <f t="shared" si="1"/>
        <v>0</v>
      </c>
      <c r="J48" s="83">
        <f t="shared" si="2"/>
        <v>7</v>
      </c>
      <c r="K48" s="54">
        <v>0</v>
      </c>
      <c r="L48" s="55"/>
      <c r="M48" s="55"/>
      <c r="N48" s="55"/>
      <c r="O48" s="55"/>
      <c r="P48" s="55"/>
      <c r="Q48" s="55"/>
      <c r="R48" s="56"/>
      <c r="S48" s="56"/>
      <c r="T48" s="56"/>
      <c r="U48" s="56"/>
      <c r="V48" s="56"/>
      <c r="W48" s="57"/>
      <c r="X48" s="57"/>
      <c r="Y48" s="57" t="s">
        <v>40</v>
      </c>
      <c r="Z48" s="58"/>
      <c r="AA48" s="56"/>
      <c r="AB48" s="56" t="str">
        <f t="shared" si="3"/>
        <v/>
      </c>
      <c r="AC48" s="56" t="str">
        <f t="shared" si="3"/>
        <v/>
      </c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7"/>
    </row>
    <row r="49" spans="1:47" ht="17.25" customHeight="1" outlineLevel="1" x14ac:dyDescent="0.25">
      <c r="A49" s="47"/>
      <c r="B49" s="79" t="s">
        <v>115</v>
      </c>
      <c r="C49" s="80" t="s">
        <v>116</v>
      </c>
      <c r="D49" s="79" t="s">
        <v>39</v>
      </c>
      <c r="E49" s="81">
        <v>46349</v>
      </c>
      <c r="F49" s="81">
        <v>46355</v>
      </c>
      <c r="G49" s="81">
        <v>46355</v>
      </c>
      <c r="H49" s="82"/>
      <c r="I49" s="83">
        <f t="shared" si="1"/>
        <v>0</v>
      </c>
      <c r="J49" s="83">
        <f t="shared" si="2"/>
        <v>7</v>
      </c>
      <c r="K49" s="54">
        <v>0</v>
      </c>
      <c r="L49" s="55"/>
      <c r="M49" s="55"/>
      <c r="N49" s="55"/>
      <c r="O49" s="55"/>
      <c r="P49" s="55"/>
      <c r="Q49" s="55"/>
      <c r="R49" s="56"/>
      <c r="S49" s="56"/>
      <c r="T49" s="56"/>
      <c r="U49" s="56"/>
      <c r="V49" s="56"/>
      <c r="W49" s="57"/>
      <c r="X49" s="57"/>
      <c r="Y49" s="57"/>
      <c r="Z49" s="58" t="s">
        <v>40</v>
      </c>
      <c r="AA49" s="56"/>
      <c r="AB49" s="56" t="str">
        <f t="shared" si="3"/>
        <v/>
      </c>
      <c r="AC49" s="56" t="str">
        <f t="shared" si="3"/>
        <v/>
      </c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7"/>
    </row>
    <row r="50" spans="1:47" ht="17.25" customHeight="1" outlineLevel="1" x14ac:dyDescent="0.25">
      <c r="A50" s="47"/>
      <c r="B50" s="79" t="s">
        <v>117</v>
      </c>
      <c r="C50" s="80" t="s">
        <v>118</v>
      </c>
      <c r="D50" s="79" t="s">
        <v>39</v>
      </c>
      <c r="E50" s="81">
        <v>46349</v>
      </c>
      <c r="F50" s="81">
        <v>46355</v>
      </c>
      <c r="G50" s="81">
        <v>46355</v>
      </c>
      <c r="H50" s="82"/>
      <c r="I50" s="83">
        <f t="shared" si="1"/>
        <v>0</v>
      </c>
      <c r="J50" s="83">
        <f t="shared" si="2"/>
        <v>7</v>
      </c>
      <c r="K50" s="54">
        <v>0</v>
      </c>
      <c r="L50" s="55"/>
      <c r="M50" s="55"/>
      <c r="N50" s="55"/>
      <c r="O50" s="55"/>
      <c r="P50" s="55"/>
      <c r="Q50" s="55"/>
      <c r="R50" s="56"/>
      <c r="S50" s="56"/>
      <c r="T50" s="56"/>
      <c r="U50" s="56"/>
      <c r="V50" s="56"/>
      <c r="W50" s="57"/>
      <c r="X50" s="57"/>
      <c r="Y50" s="57"/>
      <c r="Z50" s="58" t="s">
        <v>40</v>
      </c>
      <c r="AA50" s="56"/>
      <c r="AB50" s="56" t="str">
        <f t="shared" si="3"/>
        <v/>
      </c>
      <c r="AC50" s="56" t="str">
        <f t="shared" si="3"/>
        <v/>
      </c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7"/>
    </row>
    <row r="51" spans="1:47" ht="17.25" customHeight="1" outlineLevel="1" x14ac:dyDescent="0.25">
      <c r="A51" s="47"/>
      <c r="B51" s="48"/>
      <c r="C51" s="49"/>
      <c r="D51" s="48"/>
      <c r="E51" s="50"/>
      <c r="F51" s="51"/>
      <c r="G51" s="51"/>
      <c r="H51" s="52"/>
      <c r="I51" s="53"/>
      <c r="J51" s="53"/>
      <c r="K51" s="54"/>
      <c r="L51" s="55"/>
      <c r="M51" s="55"/>
      <c r="N51" s="55"/>
      <c r="O51" s="55"/>
      <c r="P51" s="55"/>
      <c r="Q51" s="55"/>
      <c r="R51" s="56"/>
      <c r="S51" s="56"/>
      <c r="T51" s="56"/>
      <c r="U51" s="56"/>
      <c r="V51" s="56"/>
      <c r="W51" s="57"/>
      <c r="X51" s="57"/>
      <c r="Y51" s="57"/>
      <c r="Z51" s="58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7"/>
    </row>
    <row r="52" spans="1:47" ht="17.25" customHeight="1" outlineLevel="1" x14ac:dyDescent="0.25">
      <c r="A52" s="47"/>
      <c r="B52" s="48"/>
      <c r="C52" s="49"/>
      <c r="D52" s="48"/>
      <c r="E52" s="50"/>
      <c r="F52" s="51"/>
      <c r="G52" s="51"/>
      <c r="H52" s="52"/>
      <c r="I52" s="53"/>
      <c r="J52" s="53"/>
      <c r="K52" s="54"/>
      <c r="L52" s="55"/>
      <c r="M52" s="55"/>
      <c r="N52" s="55"/>
      <c r="O52" s="55"/>
      <c r="P52" s="55"/>
      <c r="Q52" s="55"/>
      <c r="R52" s="56"/>
      <c r="S52" s="56"/>
      <c r="T52" s="56"/>
      <c r="U52" s="56"/>
      <c r="V52" s="56"/>
      <c r="W52" s="57"/>
      <c r="X52" s="57"/>
      <c r="Y52" s="57"/>
      <c r="Z52" s="58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7"/>
    </row>
    <row r="53" spans="1:47" ht="17.25" customHeight="1" outlineLevel="1" x14ac:dyDescent="0.25">
      <c r="A53" s="47"/>
      <c r="B53" s="48"/>
      <c r="C53" s="49"/>
      <c r="D53" s="48"/>
      <c r="E53" s="50"/>
      <c r="F53" s="51"/>
      <c r="G53" s="51"/>
      <c r="H53" s="52"/>
      <c r="I53" s="53"/>
      <c r="J53" s="53"/>
      <c r="K53" s="54"/>
      <c r="L53" s="55"/>
      <c r="M53" s="55"/>
      <c r="N53" s="55"/>
      <c r="O53" s="55"/>
      <c r="P53" s="55"/>
      <c r="Q53" s="55"/>
      <c r="R53" s="56"/>
      <c r="S53" s="56"/>
      <c r="T53" s="56"/>
      <c r="U53" s="56"/>
      <c r="V53" s="56"/>
      <c r="W53" s="57"/>
      <c r="X53" s="57"/>
      <c r="Y53" s="57"/>
      <c r="Z53" s="58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7"/>
    </row>
    <row r="54" spans="1:47" ht="17.25" customHeight="1" outlineLevel="1" x14ac:dyDescent="0.25">
      <c r="A54" s="47"/>
      <c r="B54" s="48"/>
      <c r="C54" s="49"/>
      <c r="D54" s="48"/>
      <c r="E54" s="50"/>
      <c r="F54" s="51"/>
      <c r="G54" s="51"/>
      <c r="H54" s="52"/>
      <c r="I54" s="53"/>
      <c r="J54" s="53"/>
      <c r="K54" s="54"/>
      <c r="L54" s="55"/>
      <c r="M54" s="55"/>
      <c r="N54" s="55"/>
      <c r="O54" s="55"/>
      <c r="P54" s="55"/>
      <c r="Q54" s="55"/>
      <c r="R54" s="56"/>
      <c r="S54" s="56"/>
      <c r="T54" s="56"/>
      <c r="U54" s="56"/>
      <c r="V54" s="56"/>
      <c r="W54" s="57"/>
      <c r="X54" s="57"/>
      <c r="Y54" s="57"/>
      <c r="Z54" s="58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7"/>
    </row>
    <row r="55" spans="1:47" ht="17.25" customHeight="1" outlineLevel="1" x14ac:dyDescent="0.25">
      <c r="A55" s="47"/>
      <c r="B55" s="48"/>
      <c r="C55" s="49"/>
      <c r="D55" s="48"/>
      <c r="E55" s="50"/>
      <c r="F55" s="51"/>
      <c r="G55" s="51"/>
      <c r="H55" s="52"/>
      <c r="I55" s="53"/>
      <c r="J55" s="53"/>
      <c r="K55" s="54"/>
      <c r="L55" s="55"/>
      <c r="M55" s="55"/>
      <c r="N55" s="55"/>
      <c r="O55" s="55"/>
      <c r="P55" s="55"/>
      <c r="Q55" s="55"/>
      <c r="R55" s="56"/>
      <c r="S55" s="56"/>
      <c r="T55" s="56"/>
      <c r="U55" s="56"/>
      <c r="V55" s="56"/>
      <c r="W55" s="57"/>
      <c r="X55" s="57"/>
      <c r="Y55" s="57"/>
      <c r="Z55" s="58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7"/>
    </row>
    <row r="56" spans="1:47" ht="17.25" customHeight="1" outlineLevel="1" x14ac:dyDescent="0.25">
      <c r="A56" s="47"/>
      <c r="B56" s="48"/>
      <c r="C56" s="49"/>
      <c r="D56" s="48"/>
      <c r="E56" s="50"/>
      <c r="F56" s="51"/>
      <c r="G56" s="51"/>
      <c r="H56" s="52"/>
      <c r="I56" s="53"/>
      <c r="J56" s="53"/>
      <c r="K56" s="54"/>
      <c r="L56" s="55"/>
      <c r="M56" s="55"/>
      <c r="N56" s="55"/>
      <c r="O56" s="55"/>
      <c r="P56" s="55"/>
      <c r="Q56" s="55"/>
      <c r="R56" s="56"/>
      <c r="S56" s="56"/>
      <c r="T56" s="56"/>
      <c r="U56" s="56"/>
      <c r="V56" s="56"/>
      <c r="W56" s="57"/>
      <c r="X56" s="57"/>
      <c r="Y56" s="57"/>
      <c r="Z56" s="58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7"/>
    </row>
    <row r="57" spans="1:47" ht="17.25" customHeight="1" outlineLevel="1" x14ac:dyDescent="0.25">
      <c r="A57" s="47"/>
      <c r="B57" s="48"/>
      <c r="C57" s="49"/>
      <c r="D57" s="48"/>
      <c r="E57" s="50"/>
      <c r="F57" s="51"/>
      <c r="G57" s="51"/>
      <c r="H57" s="52"/>
      <c r="I57" s="53"/>
      <c r="J57" s="53"/>
      <c r="K57" s="54"/>
      <c r="L57" s="55"/>
      <c r="M57" s="55"/>
      <c r="N57" s="55"/>
      <c r="O57" s="55"/>
      <c r="P57" s="55"/>
      <c r="Q57" s="55"/>
      <c r="R57" s="56"/>
      <c r="S57" s="56"/>
      <c r="T57" s="56"/>
      <c r="U57" s="56"/>
      <c r="V57" s="56"/>
      <c r="W57" s="57"/>
      <c r="X57" s="57"/>
      <c r="Y57" s="57"/>
      <c r="Z57" s="58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7"/>
    </row>
    <row r="58" spans="1:47" ht="17.25" customHeight="1" outlineLevel="1" x14ac:dyDescent="0.25">
      <c r="A58" s="47"/>
      <c r="B58" s="48"/>
      <c r="C58" s="49"/>
      <c r="D58" s="48"/>
      <c r="E58" s="50"/>
      <c r="F58" s="51"/>
      <c r="G58" s="51"/>
      <c r="H58" s="52"/>
      <c r="I58" s="53"/>
      <c r="J58" s="53"/>
      <c r="K58" s="54"/>
      <c r="L58" s="55"/>
      <c r="M58" s="55"/>
      <c r="N58" s="55"/>
      <c r="O58" s="55"/>
      <c r="P58" s="55"/>
      <c r="Q58" s="55"/>
      <c r="R58" s="56"/>
      <c r="S58" s="56"/>
      <c r="T58" s="56"/>
      <c r="U58" s="56"/>
      <c r="V58" s="56"/>
      <c r="W58" s="57"/>
      <c r="X58" s="57"/>
      <c r="Y58" s="57"/>
      <c r="Z58" s="58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7"/>
    </row>
    <row r="59" spans="1:47" ht="17.25" customHeight="1" outlineLevel="1" x14ac:dyDescent="0.25">
      <c r="A59" s="47"/>
      <c r="B59" s="48"/>
      <c r="C59" s="49"/>
      <c r="D59" s="48"/>
      <c r="E59" s="50"/>
      <c r="F59" s="51"/>
      <c r="G59" s="51"/>
      <c r="H59" s="52"/>
      <c r="I59" s="53"/>
      <c r="J59" s="53"/>
      <c r="K59" s="54"/>
      <c r="L59" s="55"/>
      <c r="M59" s="55"/>
      <c r="N59" s="55"/>
      <c r="O59" s="55"/>
      <c r="P59" s="55"/>
      <c r="Q59" s="55"/>
      <c r="R59" s="56"/>
      <c r="S59" s="56"/>
      <c r="T59" s="56"/>
      <c r="U59" s="56"/>
      <c r="V59" s="56"/>
      <c r="W59" s="57"/>
      <c r="X59" s="57"/>
      <c r="Y59" s="57"/>
      <c r="Z59" s="58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7"/>
    </row>
    <row r="60" spans="1:47" ht="17.25" customHeight="1" outlineLevel="1" x14ac:dyDescent="0.25">
      <c r="A60" s="47"/>
      <c r="B60" s="48"/>
      <c r="C60" s="49"/>
      <c r="D60" s="48"/>
      <c r="E60" s="50"/>
      <c r="F60" s="51"/>
      <c r="G60" s="51"/>
      <c r="H60" s="52"/>
      <c r="I60" s="53"/>
      <c r="J60" s="53"/>
      <c r="K60" s="54"/>
      <c r="L60" s="55"/>
      <c r="M60" s="55"/>
      <c r="N60" s="55"/>
      <c r="O60" s="55"/>
      <c r="P60" s="55"/>
      <c r="Q60" s="55"/>
      <c r="R60" s="56"/>
      <c r="S60" s="56"/>
      <c r="T60" s="56"/>
      <c r="U60" s="56"/>
      <c r="V60" s="56"/>
      <c r="W60" s="57"/>
      <c r="X60" s="57"/>
      <c r="Y60" s="57"/>
      <c r="Z60" s="58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7"/>
    </row>
    <row r="61" spans="1:47" ht="17.25" customHeight="1" outlineLevel="1" x14ac:dyDescent="0.25">
      <c r="A61" s="47"/>
      <c r="B61" s="48"/>
      <c r="C61" s="49"/>
      <c r="D61" s="48"/>
      <c r="E61" s="50"/>
      <c r="F61" s="51"/>
      <c r="G61" s="51"/>
      <c r="H61" s="52"/>
      <c r="I61" s="53"/>
      <c r="J61" s="53"/>
      <c r="K61" s="54"/>
      <c r="L61" s="55"/>
      <c r="M61" s="55"/>
      <c r="N61" s="55"/>
      <c r="O61" s="55"/>
      <c r="P61" s="55"/>
      <c r="Q61" s="55"/>
      <c r="R61" s="56"/>
      <c r="S61" s="56"/>
      <c r="T61" s="56"/>
      <c r="U61" s="56"/>
      <c r="V61" s="56"/>
      <c r="W61" s="57"/>
      <c r="X61" s="57"/>
      <c r="Y61" s="57"/>
      <c r="Z61" s="58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7"/>
    </row>
    <row r="62" spans="1:47" ht="17.25" customHeight="1" outlineLevel="1" x14ac:dyDescent="0.25">
      <c r="A62" s="47"/>
      <c r="B62" s="48"/>
      <c r="C62" s="49"/>
      <c r="D62" s="48"/>
      <c r="E62" s="50"/>
      <c r="F62" s="51"/>
      <c r="G62" s="51"/>
      <c r="H62" s="52"/>
      <c r="I62" s="53"/>
      <c r="J62" s="53"/>
      <c r="K62" s="54"/>
      <c r="L62" s="55"/>
      <c r="M62" s="55"/>
      <c r="N62" s="55"/>
      <c r="O62" s="55"/>
      <c r="P62" s="55"/>
      <c r="Q62" s="55"/>
      <c r="R62" s="56"/>
      <c r="S62" s="56"/>
      <c r="T62" s="56"/>
      <c r="U62" s="56"/>
      <c r="V62" s="56"/>
      <c r="W62" s="57"/>
      <c r="X62" s="57"/>
      <c r="Y62" s="57"/>
      <c r="Z62" s="58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7"/>
    </row>
    <row r="63" spans="1:47" ht="17.25" customHeight="1" outlineLevel="1" x14ac:dyDescent="0.25">
      <c r="A63" s="47"/>
      <c r="B63" s="48"/>
      <c r="C63" s="49"/>
      <c r="D63" s="48"/>
      <c r="E63" s="50"/>
      <c r="F63" s="51"/>
      <c r="G63" s="51"/>
      <c r="H63" s="52"/>
      <c r="I63" s="53"/>
      <c r="J63" s="53"/>
      <c r="K63" s="54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7"/>
      <c r="X63" s="57"/>
      <c r="Y63" s="57"/>
      <c r="Z63" s="58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7"/>
    </row>
    <row r="64" spans="1:47" ht="17.25" customHeight="1" outlineLevel="1" x14ac:dyDescent="0.25">
      <c r="A64" s="47"/>
      <c r="B64" s="48"/>
      <c r="C64" s="49"/>
      <c r="D64" s="48"/>
      <c r="E64" s="50"/>
      <c r="F64" s="51"/>
      <c r="G64" s="51"/>
      <c r="H64" s="52"/>
      <c r="I64" s="53"/>
      <c r="J64" s="53"/>
      <c r="K64" s="54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7"/>
      <c r="X64" s="57"/>
      <c r="Y64" s="57"/>
      <c r="Z64" s="58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7"/>
    </row>
    <row r="65" spans="1:47" ht="17.25" customHeight="1" outlineLevel="1" x14ac:dyDescent="0.25">
      <c r="A65" s="47"/>
      <c r="B65" s="48"/>
      <c r="C65" s="49"/>
      <c r="D65" s="48"/>
      <c r="E65" s="50"/>
      <c r="F65" s="51"/>
      <c r="G65" s="51"/>
      <c r="H65" s="52"/>
      <c r="I65" s="53"/>
      <c r="J65" s="53"/>
      <c r="K65" s="54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7"/>
      <c r="X65" s="57"/>
      <c r="Y65" s="57"/>
      <c r="Z65" s="58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7"/>
    </row>
    <row r="66" spans="1:47" ht="17.25" customHeight="1" outlineLevel="1" x14ac:dyDescent="0.25">
      <c r="A66" s="47"/>
      <c r="B66" s="48"/>
      <c r="C66" s="49"/>
      <c r="D66" s="48"/>
      <c r="E66" s="50"/>
      <c r="F66" s="51"/>
      <c r="G66" s="51"/>
      <c r="H66" s="52"/>
      <c r="I66" s="53"/>
      <c r="J66" s="53"/>
      <c r="K66" s="54"/>
      <c r="L66" s="55"/>
      <c r="M66" s="55"/>
      <c r="N66" s="55"/>
      <c r="O66" s="55"/>
      <c r="P66" s="55"/>
      <c r="Q66" s="55"/>
      <c r="R66" s="56"/>
      <c r="S66" s="56"/>
      <c r="T66" s="56"/>
      <c r="U66" s="56"/>
      <c r="V66" s="56"/>
      <c r="W66" s="57"/>
      <c r="X66" s="57"/>
      <c r="Y66" s="57"/>
      <c r="Z66" s="58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7"/>
    </row>
    <row r="67" spans="1:47" ht="17.25" customHeight="1" outlineLevel="1" x14ac:dyDescent="0.25">
      <c r="A67" s="47"/>
      <c r="B67" s="48"/>
      <c r="C67" s="49"/>
      <c r="D67" s="48"/>
      <c r="E67" s="50"/>
      <c r="F67" s="51"/>
      <c r="G67" s="51"/>
      <c r="H67" s="52"/>
      <c r="I67" s="53"/>
      <c r="J67" s="53"/>
      <c r="K67" s="54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7"/>
      <c r="X67" s="57"/>
      <c r="Y67" s="57"/>
      <c r="Z67" s="58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7"/>
    </row>
    <row r="68" spans="1:47" ht="17.25" customHeight="1" outlineLevel="1" x14ac:dyDescent="0.25">
      <c r="A68" s="47"/>
      <c r="B68" s="48"/>
      <c r="C68" s="49"/>
      <c r="D68" s="48"/>
      <c r="E68" s="50"/>
      <c r="F68" s="51"/>
      <c r="G68" s="51"/>
      <c r="H68" s="52"/>
      <c r="I68" s="53"/>
      <c r="J68" s="53"/>
      <c r="K68" s="54"/>
      <c r="L68" s="55"/>
      <c r="M68" s="55"/>
      <c r="N68" s="55"/>
      <c r="O68" s="55"/>
      <c r="P68" s="55"/>
      <c r="Q68" s="55"/>
      <c r="R68" s="56"/>
      <c r="S68" s="56"/>
      <c r="T68" s="56"/>
      <c r="U68" s="56"/>
      <c r="V68" s="56"/>
      <c r="W68" s="57"/>
      <c r="X68" s="57"/>
      <c r="Y68" s="57"/>
      <c r="Z68" s="58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7"/>
    </row>
    <row r="69" spans="1:47" ht="17.25" customHeight="1" outlineLevel="1" x14ac:dyDescent="0.25">
      <c r="A69" s="47"/>
      <c r="B69" s="48"/>
      <c r="C69" s="49"/>
      <c r="D69" s="48"/>
      <c r="E69" s="50"/>
      <c r="F69" s="51"/>
      <c r="G69" s="51"/>
      <c r="H69" s="52"/>
      <c r="I69" s="53"/>
      <c r="J69" s="53"/>
      <c r="K69" s="54"/>
      <c r="L69" s="55"/>
      <c r="M69" s="55"/>
      <c r="N69" s="55"/>
      <c r="O69" s="55"/>
      <c r="P69" s="55"/>
      <c r="Q69" s="55"/>
      <c r="R69" s="56"/>
      <c r="S69" s="56"/>
      <c r="T69" s="56"/>
      <c r="U69" s="56"/>
      <c r="V69" s="56"/>
      <c r="W69" s="57"/>
      <c r="X69" s="57"/>
      <c r="Y69" s="57"/>
      <c r="Z69" s="58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7"/>
    </row>
    <row r="70" spans="1:47" ht="17.25" customHeight="1" outlineLevel="1" x14ac:dyDescent="0.25">
      <c r="A70" s="47"/>
      <c r="B70" s="48"/>
      <c r="C70" s="49"/>
      <c r="D70" s="48"/>
      <c r="E70" s="50"/>
      <c r="F70" s="51"/>
      <c r="G70" s="51"/>
      <c r="H70" s="52"/>
      <c r="I70" s="53"/>
      <c r="J70" s="53"/>
      <c r="K70" s="54"/>
      <c r="L70" s="55"/>
      <c r="M70" s="55"/>
      <c r="N70" s="55"/>
      <c r="O70" s="55"/>
      <c r="P70" s="55"/>
      <c r="Q70" s="55"/>
      <c r="R70" s="56"/>
      <c r="S70" s="56"/>
      <c r="T70" s="56"/>
      <c r="U70" s="56"/>
      <c r="V70" s="56"/>
      <c r="W70" s="57"/>
      <c r="X70" s="57"/>
      <c r="Y70" s="57"/>
      <c r="Z70" s="58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7"/>
    </row>
    <row r="71" spans="1:47" ht="17.25" customHeight="1" outlineLevel="1" x14ac:dyDescent="0.25">
      <c r="A71" s="47"/>
      <c r="B71" s="48"/>
      <c r="C71" s="49"/>
      <c r="D71" s="48"/>
      <c r="E71" s="50"/>
      <c r="F71" s="51"/>
      <c r="G71" s="51"/>
      <c r="H71" s="52"/>
      <c r="I71" s="53"/>
      <c r="J71" s="53"/>
      <c r="K71" s="54"/>
      <c r="L71" s="55"/>
      <c r="M71" s="55"/>
      <c r="N71" s="55"/>
      <c r="O71" s="55"/>
      <c r="P71" s="55"/>
      <c r="Q71" s="55"/>
      <c r="R71" s="56"/>
      <c r="S71" s="56"/>
      <c r="T71" s="56"/>
      <c r="U71" s="56"/>
      <c r="V71" s="56"/>
      <c r="W71" s="57"/>
      <c r="X71" s="57"/>
      <c r="Y71" s="57"/>
      <c r="Z71" s="58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7"/>
    </row>
    <row r="72" spans="1:47" ht="17.25" customHeight="1" outlineLevel="1" x14ac:dyDescent="0.25">
      <c r="A72" s="47"/>
      <c r="B72" s="48"/>
      <c r="C72" s="49"/>
      <c r="D72" s="48"/>
      <c r="E72" s="50"/>
      <c r="F72" s="51"/>
      <c r="G72" s="51"/>
      <c r="H72" s="52"/>
      <c r="I72" s="53"/>
      <c r="J72" s="53"/>
      <c r="K72" s="54"/>
      <c r="L72" s="55"/>
      <c r="M72" s="55"/>
      <c r="N72" s="55"/>
      <c r="O72" s="55"/>
      <c r="P72" s="55"/>
      <c r="Q72" s="55"/>
      <c r="R72" s="56"/>
      <c r="S72" s="56"/>
      <c r="T72" s="56"/>
      <c r="U72" s="56"/>
      <c r="V72" s="56"/>
      <c r="W72" s="57"/>
      <c r="X72" s="57"/>
      <c r="Y72" s="57"/>
      <c r="Z72" s="58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7"/>
    </row>
    <row r="73" spans="1:47" ht="17.25" customHeight="1" outlineLevel="1" x14ac:dyDescent="0.25">
      <c r="A73" s="47"/>
      <c r="B73" s="48"/>
      <c r="C73" s="49"/>
      <c r="D73" s="48"/>
      <c r="E73" s="50"/>
      <c r="F73" s="51"/>
      <c r="G73" s="51"/>
      <c r="H73" s="52"/>
      <c r="I73" s="53"/>
      <c r="J73" s="53"/>
      <c r="K73" s="54"/>
      <c r="L73" s="55"/>
      <c r="M73" s="55"/>
      <c r="N73" s="55"/>
      <c r="O73" s="55"/>
      <c r="P73" s="55"/>
      <c r="Q73" s="55"/>
      <c r="R73" s="56"/>
      <c r="S73" s="56"/>
      <c r="T73" s="56"/>
      <c r="U73" s="56"/>
      <c r="V73" s="56"/>
      <c r="W73" s="57"/>
      <c r="X73" s="57"/>
      <c r="Y73" s="57"/>
      <c r="Z73" s="58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7"/>
    </row>
    <row r="74" spans="1:47" ht="17.25" customHeight="1" outlineLevel="1" x14ac:dyDescent="0.25">
      <c r="A74" s="47"/>
      <c r="B74" s="48"/>
      <c r="C74" s="49"/>
      <c r="D74" s="48"/>
      <c r="E74" s="50"/>
      <c r="F74" s="51"/>
      <c r="G74" s="51"/>
      <c r="H74" s="52"/>
      <c r="I74" s="53"/>
      <c r="J74" s="53"/>
      <c r="K74" s="54"/>
      <c r="L74" s="55"/>
      <c r="M74" s="55"/>
      <c r="N74" s="55"/>
      <c r="O74" s="55"/>
      <c r="P74" s="55"/>
      <c r="Q74" s="55"/>
      <c r="R74" s="56"/>
      <c r="S74" s="56"/>
      <c r="T74" s="56"/>
      <c r="U74" s="56"/>
      <c r="V74" s="56"/>
      <c r="W74" s="57"/>
      <c r="X74" s="57"/>
      <c r="Y74" s="57"/>
      <c r="Z74" s="58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7"/>
    </row>
    <row r="75" spans="1:47" ht="17.25" customHeight="1" outlineLevel="1" x14ac:dyDescent="0.25">
      <c r="A75" s="47"/>
      <c r="B75" s="48"/>
      <c r="C75" s="49"/>
      <c r="D75" s="48"/>
      <c r="E75" s="50"/>
      <c r="F75" s="51"/>
      <c r="G75" s="51"/>
      <c r="H75" s="52"/>
      <c r="I75" s="53"/>
      <c r="J75" s="53"/>
      <c r="K75" s="54"/>
      <c r="L75" s="55"/>
      <c r="M75" s="55"/>
      <c r="N75" s="55"/>
      <c r="O75" s="55"/>
      <c r="P75" s="55"/>
      <c r="Q75" s="55"/>
      <c r="R75" s="56"/>
      <c r="S75" s="56"/>
      <c r="T75" s="56"/>
      <c r="U75" s="56"/>
      <c r="V75" s="56"/>
      <c r="W75" s="57"/>
      <c r="X75" s="57"/>
      <c r="Y75" s="57"/>
      <c r="Z75" s="58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7"/>
    </row>
    <row r="76" spans="1:47" ht="17.25" customHeight="1" outlineLevel="1" x14ac:dyDescent="0.25">
      <c r="A76" s="47"/>
      <c r="B76" s="48"/>
      <c r="C76" s="49"/>
      <c r="D76" s="48"/>
      <c r="E76" s="50"/>
      <c r="F76" s="51"/>
      <c r="G76" s="51"/>
      <c r="H76" s="52"/>
      <c r="I76" s="53"/>
      <c r="J76" s="53"/>
      <c r="K76" s="54"/>
      <c r="L76" s="55"/>
      <c r="M76" s="55"/>
      <c r="N76" s="55"/>
      <c r="O76" s="55"/>
      <c r="P76" s="55"/>
      <c r="Q76" s="55"/>
      <c r="R76" s="56"/>
      <c r="S76" s="56"/>
      <c r="T76" s="56"/>
      <c r="U76" s="56"/>
      <c r="V76" s="56"/>
      <c r="W76" s="57"/>
      <c r="X76" s="57"/>
      <c r="Y76" s="57"/>
      <c r="Z76" s="58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7"/>
    </row>
    <row r="77" spans="1:47" ht="17.25" customHeight="1" outlineLevel="1" x14ac:dyDescent="0.25">
      <c r="A77" s="47"/>
      <c r="B77" s="48"/>
      <c r="C77" s="49"/>
      <c r="D77" s="48"/>
      <c r="E77" s="50"/>
      <c r="F77" s="51"/>
      <c r="G77" s="51"/>
      <c r="H77" s="52"/>
      <c r="I77" s="53"/>
      <c r="J77" s="53"/>
      <c r="K77" s="54"/>
      <c r="L77" s="55"/>
      <c r="M77" s="55"/>
      <c r="N77" s="55"/>
      <c r="O77" s="55"/>
      <c r="P77" s="55"/>
      <c r="Q77" s="55"/>
      <c r="R77" s="56"/>
      <c r="S77" s="56"/>
      <c r="T77" s="56"/>
      <c r="U77" s="56"/>
      <c r="V77" s="56"/>
      <c r="W77" s="57"/>
      <c r="X77" s="57"/>
      <c r="Y77" s="57"/>
      <c r="Z77" s="58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7"/>
    </row>
    <row r="78" spans="1:47" ht="17.25" customHeight="1" outlineLevel="1" x14ac:dyDescent="0.25">
      <c r="A78" s="47"/>
      <c r="B78" s="48"/>
      <c r="C78" s="49"/>
      <c r="D78" s="48"/>
      <c r="E78" s="50"/>
      <c r="F78" s="51"/>
      <c r="G78" s="51"/>
      <c r="H78" s="52"/>
      <c r="I78" s="53"/>
      <c r="J78" s="53"/>
      <c r="K78" s="54"/>
      <c r="L78" s="55"/>
      <c r="M78" s="55"/>
      <c r="N78" s="55"/>
      <c r="O78" s="55"/>
      <c r="P78" s="55"/>
      <c r="Q78" s="55"/>
      <c r="R78" s="56"/>
      <c r="S78" s="56"/>
      <c r="T78" s="56"/>
      <c r="U78" s="56"/>
      <c r="V78" s="56"/>
      <c r="W78" s="57"/>
      <c r="X78" s="57"/>
      <c r="Y78" s="57"/>
      <c r="Z78" s="58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7"/>
    </row>
    <row r="79" spans="1:47" ht="17.25" customHeight="1" outlineLevel="1" x14ac:dyDescent="0.25">
      <c r="A79" s="47"/>
      <c r="B79" s="48"/>
      <c r="C79" s="49"/>
      <c r="D79" s="48"/>
      <c r="E79" s="50"/>
      <c r="F79" s="51"/>
      <c r="G79" s="51"/>
      <c r="H79" s="52"/>
      <c r="I79" s="53"/>
      <c r="J79" s="53"/>
      <c r="K79" s="54"/>
      <c r="L79" s="55"/>
      <c r="M79" s="55"/>
      <c r="N79" s="55"/>
      <c r="O79" s="55"/>
      <c r="P79" s="55"/>
      <c r="Q79" s="55"/>
      <c r="R79" s="56"/>
      <c r="S79" s="56"/>
      <c r="T79" s="56"/>
      <c r="U79" s="56"/>
      <c r="V79" s="56"/>
      <c r="W79" s="57"/>
      <c r="X79" s="57"/>
      <c r="Y79" s="57"/>
      <c r="Z79" s="58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7"/>
    </row>
    <row r="80" spans="1:4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B2:K2"/>
    <mergeCell ref="D4:H4"/>
    <mergeCell ref="L3:T3"/>
    <mergeCell ref="B4:C4"/>
    <mergeCell ref="L2:AT2"/>
    <mergeCell ref="U3:AS3"/>
    <mergeCell ref="B6:C6"/>
    <mergeCell ref="J4:K4"/>
    <mergeCell ref="D3:K3"/>
    <mergeCell ref="J5:K5"/>
    <mergeCell ref="B3:C3"/>
    <mergeCell ref="B5:C5"/>
    <mergeCell ref="D5:H5"/>
    <mergeCell ref="L5:W5"/>
    <mergeCell ref="L4:X4"/>
  </mergeCells>
  <conditionalFormatting sqref="K11:K79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conditionalFormatting sqref="L10:AT10">
    <cfRule type="timePeriod" dxfId="0" priority="3" timePeriod="today">
      <formula>FLOOR(L10,1)=TODAY()</formula>
    </cfRule>
  </conditionalFormatting>
  <pageMargins left="0.75" right="0.75" top="1" bottom="1" header="0.5" footer="0.5"/>
  <pageSetup paperSize="9" scale="2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4.44140625" defaultRowHeight="15" customHeight="1" x14ac:dyDescent="0.25"/>
  <cols>
    <col min="1" max="6" width="14.44140625" style="60" customWidth="1"/>
  </cols>
  <sheetData>
    <row r="1" spans="1:1" ht="15.75" customHeight="1" x14ac:dyDescent="0.25"/>
    <row r="2" spans="1:1" ht="15.75" customHeight="1" x14ac:dyDescent="0.3">
      <c r="A2" s="59" t="s">
        <v>119</v>
      </c>
    </row>
    <row r="3" spans="1:1" ht="15.75" customHeight="1" x14ac:dyDescent="0.3">
      <c r="A3" s="59" t="s">
        <v>120</v>
      </c>
    </row>
    <row r="4" spans="1:1" ht="15.75" customHeight="1" x14ac:dyDescent="0.3">
      <c r="A4" s="59" t="s">
        <v>121</v>
      </c>
    </row>
    <row r="5" spans="1:1" ht="15.75" customHeight="1" x14ac:dyDescent="0.25"/>
    <row r="6" spans="1:1" ht="15.75" customHeight="1" x14ac:dyDescent="0.25"/>
    <row r="7" spans="1:1" ht="15.75" customHeight="1" x14ac:dyDescent="0.25"/>
    <row r="8" spans="1:1" ht="15.75" customHeight="1" x14ac:dyDescent="0.25"/>
    <row r="9" spans="1:1" ht="15.75" customHeight="1" x14ac:dyDescent="0.25"/>
    <row r="10" spans="1:1" ht="15.75" customHeight="1" x14ac:dyDescent="0.25"/>
    <row r="11" spans="1:1" ht="15.75" customHeight="1" x14ac:dyDescent="0.25"/>
    <row r="12" spans="1:1" ht="15.75" customHeight="1" x14ac:dyDescent="0.25"/>
    <row r="13" spans="1:1" ht="15.75" customHeight="1" x14ac:dyDescent="0.25"/>
    <row r="14" spans="1:1" ht="15.75" customHeight="1" x14ac:dyDescent="0.25"/>
    <row r="15" spans="1:1" ht="15.75" customHeight="1" x14ac:dyDescent="0.25"/>
    <row r="16" spans="1: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Diagrama de Gantt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androide340mycraft@gmail.com</cp:lastModifiedBy>
  <cp:lastPrinted>2026-09-14T23:55:37Z</cp:lastPrinted>
  <dcterms:created xsi:type="dcterms:W3CDTF">2026-08-31T23:22:48Z</dcterms:created>
  <dcterms:modified xsi:type="dcterms:W3CDTF">2026-09-15T00:12:00Z</dcterms:modified>
</cp:coreProperties>
</file>